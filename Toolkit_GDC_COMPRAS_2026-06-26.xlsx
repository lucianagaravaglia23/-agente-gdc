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garavaglia\Downloads\"/>
    </mc:Choice>
  </mc:AlternateContent>
  <xr:revisionPtr revIDLastSave="0" documentId="13_ncr:1_{DE665F0D-7C43-4FE8-8679-648FA0809A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ro" sheetId="2" r:id="rId1"/>
    <sheet name="Detalle de Input" sheetId="28" r:id="rId2"/>
    <sheet name="Consciencia Situacional" sheetId="3" r:id="rId3"/>
    <sheet name="vvv" sheetId="15" state="hidden" r:id="rId4"/>
    <sheet name="Consciencia Situacional (2)" sheetId="6" r:id="rId5"/>
    <sheet name="Matriz de impactos graficos" sheetId="17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2" i="6" l="1"/>
  <c r="M62" i="3"/>
  <c r="H10" i="17"/>
  <c r="H11" i="17"/>
  <c r="H12" i="17"/>
  <c r="F24" i="2" l="1"/>
  <c r="U2" i="17"/>
  <c r="H24" i="17"/>
  <c r="AF2" i="17" s="1"/>
  <c r="J59" i="17" l="1"/>
  <c r="BQ4" i="17" s="1"/>
  <c r="J58" i="17"/>
  <c r="BP4" i="17" s="1"/>
  <c r="J57" i="17"/>
  <c r="BO4" i="17" s="1"/>
  <c r="J56" i="17"/>
  <c r="BN4" i="17" s="1"/>
  <c r="J55" i="17"/>
  <c r="BM4" i="17" s="1"/>
  <c r="J54" i="17"/>
  <c r="BL4" i="17" s="1"/>
  <c r="J53" i="17"/>
  <c r="BK4" i="17" s="1"/>
  <c r="J52" i="17"/>
  <c r="BJ4" i="17" s="1"/>
  <c r="J50" i="17"/>
  <c r="BH4" i="17" s="1"/>
  <c r="J49" i="17"/>
  <c r="BG4" i="17" s="1"/>
  <c r="J48" i="17"/>
  <c r="BF4" i="17" s="1"/>
  <c r="J47" i="17"/>
  <c r="BE4" i="17" s="1"/>
  <c r="J46" i="17"/>
  <c r="BD4" i="17" s="1"/>
  <c r="J45" i="17"/>
  <c r="BC4" i="17" s="1"/>
  <c r="J44" i="17"/>
  <c r="BB4" i="17" s="1"/>
  <c r="J43" i="17"/>
  <c r="BA4" i="17" s="1"/>
  <c r="J42" i="17"/>
  <c r="AZ4" i="17" s="1"/>
  <c r="J40" i="17"/>
  <c r="AX4" i="17" s="1"/>
  <c r="J39" i="17"/>
  <c r="AW4" i="17" s="1"/>
  <c r="J38" i="17"/>
  <c r="AV4" i="17" s="1"/>
  <c r="J37" i="17"/>
  <c r="AU4" i="17" s="1"/>
  <c r="J36" i="17"/>
  <c r="AT4" i="17" s="1"/>
  <c r="J35" i="17"/>
  <c r="AS4" i="17" s="1"/>
  <c r="J34" i="17"/>
  <c r="AR4" i="17" s="1"/>
  <c r="J33" i="17"/>
  <c r="AQ4" i="17" s="1"/>
  <c r="J32" i="17"/>
  <c r="AP4" i="17" s="1"/>
  <c r="J31" i="17"/>
  <c r="AO4" i="17" s="1"/>
  <c r="J30" i="17"/>
  <c r="AN4" i="17" s="1"/>
  <c r="J29" i="17"/>
  <c r="AM4" i="17"/>
  <c r="J28" i="17"/>
  <c r="AL4" i="17" s="1"/>
  <c r="J27" i="17"/>
  <c r="AK4" i="17" s="1"/>
  <c r="J26" i="17"/>
  <c r="AJ4" i="17" s="1"/>
  <c r="J25" i="17"/>
  <c r="AI4" i="17" s="1"/>
  <c r="J24" i="17"/>
  <c r="AH4" i="17" s="1"/>
  <c r="J23" i="17"/>
  <c r="AG4" i="17" s="1"/>
  <c r="J22" i="17"/>
  <c r="AF4" i="17" s="1"/>
  <c r="J21" i="17"/>
  <c r="AE4" i="17" s="1"/>
  <c r="J20" i="17"/>
  <c r="AD4" i="17" s="1"/>
  <c r="J19" i="17"/>
  <c r="AC4" i="17" s="1"/>
  <c r="J18" i="17"/>
  <c r="AB4" i="17" s="1"/>
  <c r="J17" i="17"/>
  <c r="AA4" i="17" s="1"/>
  <c r="J16" i="17"/>
  <c r="Z4" i="17" s="1"/>
  <c r="J15" i="17"/>
  <c r="Y4" i="17" s="1"/>
  <c r="J14" i="17"/>
  <c r="X4" i="17" s="1"/>
  <c r="J13" i="17"/>
  <c r="W4" i="17" s="1"/>
  <c r="J12" i="17"/>
  <c r="V4" i="17" s="1"/>
  <c r="J11" i="17"/>
  <c r="U4" i="17" s="1"/>
  <c r="J10" i="17"/>
  <c r="T4" i="17" s="1"/>
  <c r="J9" i="17"/>
  <c r="S4" i="17" s="1"/>
  <c r="J8" i="17"/>
  <c r="R4" i="17" s="1"/>
  <c r="J7" i="17"/>
  <c r="Q4" i="17" s="1"/>
  <c r="I59" i="17"/>
  <c r="BQ3" i="17"/>
  <c r="I58" i="17"/>
  <c r="BP3" i="17"/>
  <c r="I57" i="17"/>
  <c r="BO3" i="17"/>
  <c r="I56" i="17"/>
  <c r="BN3" i="17" s="1"/>
  <c r="I55" i="17"/>
  <c r="BM3" i="17" s="1"/>
  <c r="I54" i="17"/>
  <c r="BL3" i="17" s="1"/>
  <c r="I53" i="17"/>
  <c r="BK3" i="17" s="1"/>
  <c r="I52" i="17"/>
  <c r="BJ3" i="17" s="1"/>
  <c r="I50" i="17"/>
  <c r="BH3" i="17" s="1"/>
  <c r="B49" i="17"/>
  <c r="C49" i="17" s="1"/>
  <c r="D49" i="17" s="1"/>
  <c r="I48" i="17"/>
  <c r="BF3" i="17" s="1"/>
  <c r="I47" i="17"/>
  <c r="BE3" i="17" s="1"/>
  <c r="I46" i="17"/>
  <c r="BD3" i="17" s="1"/>
  <c r="I45" i="17"/>
  <c r="BC3" i="17" s="1"/>
  <c r="I44" i="17"/>
  <c r="BB3" i="17" s="1"/>
  <c r="I43" i="17"/>
  <c r="BA3" i="17" s="1"/>
  <c r="I42" i="17"/>
  <c r="AZ3" i="17" s="1"/>
  <c r="B40" i="17"/>
  <c r="C40" i="17" s="1"/>
  <c r="D40" i="17" s="1"/>
  <c r="I39" i="17"/>
  <c r="AW3" i="17" s="1"/>
  <c r="I38" i="17"/>
  <c r="AV3" i="17" s="1"/>
  <c r="I37" i="17"/>
  <c r="AU3" i="17" s="1"/>
  <c r="I36" i="17"/>
  <c r="AT3" i="17" s="1"/>
  <c r="I35" i="17"/>
  <c r="AS3" i="17" s="1"/>
  <c r="I34" i="17"/>
  <c r="AR3" i="17" s="1"/>
  <c r="I33" i="17"/>
  <c r="AQ3" i="17"/>
  <c r="I30" i="17"/>
  <c r="AN3" i="17"/>
  <c r="I29" i="17"/>
  <c r="AM3" i="17" s="1"/>
  <c r="I27" i="17"/>
  <c r="AK3" i="17" s="1"/>
  <c r="I25" i="17"/>
  <c r="AI3" i="17" s="1"/>
  <c r="I11" i="17"/>
  <c r="U3" i="17" s="1"/>
  <c r="I10" i="17"/>
  <c r="T3" i="17" s="1"/>
  <c r="I22" i="17"/>
  <c r="AF3" i="17" s="1"/>
  <c r="I19" i="17"/>
  <c r="AC3" i="17" s="1"/>
  <c r="I18" i="17"/>
  <c r="AB3" i="17" s="1"/>
  <c r="I16" i="17"/>
  <c r="Z3" i="17" s="1"/>
  <c r="I14" i="17"/>
  <c r="J6" i="17"/>
  <c r="P4" i="17" s="1"/>
  <c r="J5" i="17"/>
  <c r="O4" i="17" s="1"/>
  <c r="J4" i="17"/>
  <c r="N4" i="17" s="1"/>
  <c r="J3" i="17"/>
  <c r="M4" i="17" s="1"/>
  <c r="H4" i="17"/>
  <c r="N2" i="17" s="1"/>
  <c r="H5" i="17"/>
  <c r="O2" i="17" s="1"/>
  <c r="H6" i="17"/>
  <c r="P2" i="17" s="1"/>
  <c r="H7" i="17"/>
  <c r="Q2" i="17" s="1"/>
  <c r="H8" i="17"/>
  <c r="R2" i="17" s="1"/>
  <c r="H9" i="17"/>
  <c r="S2" i="17" s="1"/>
  <c r="T2" i="17"/>
  <c r="V2" i="17"/>
  <c r="H13" i="17"/>
  <c r="W2" i="17" s="1"/>
  <c r="H14" i="17"/>
  <c r="H15" i="17"/>
  <c r="H16" i="17"/>
  <c r="X2" i="17" s="1"/>
  <c r="H17" i="17"/>
  <c r="Y2" i="17" s="1"/>
  <c r="H18" i="17"/>
  <c r="Z2" i="17" s="1"/>
  <c r="H19" i="17"/>
  <c r="AA2" i="17" s="1"/>
  <c r="H20" i="17"/>
  <c r="AB2" i="17" s="1"/>
  <c r="H21" i="17"/>
  <c r="AC2" i="17" s="1"/>
  <c r="H22" i="17"/>
  <c r="AD2" i="17" s="1"/>
  <c r="H23" i="17"/>
  <c r="AE2" i="17" s="1"/>
  <c r="H25" i="17"/>
  <c r="AG2" i="17" s="1"/>
  <c r="H26" i="17"/>
  <c r="AH2" i="17" s="1"/>
  <c r="H27" i="17"/>
  <c r="AI2" i="17" s="1"/>
  <c r="H28" i="17"/>
  <c r="AJ2" i="17" s="1"/>
  <c r="H29" i="17"/>
  <c r="AK2" i="17" s="1"/>
  <c r="H30" i="17"/>
  <c r="AL2" i="17" s="1"/>
  <c r="H31" i="17"/>
  <c r="AM2" i="17" s="1"/>
  <c r="H32" i="17"/>
  <c r="AN2" i="17" s="1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3" i="17"/>
  <c r="M2" i="17" s="1"/>
  <c r="B14" i="17"/>
  <c r="C14" i="17" s="1"/>
  <c r="D14" i="17" s="1"/>
  <c r="B16" i="17"/>
  <c r="C16" i="17" s="1"/>
  <c r="D16" i="17" s="1"/>
  <c r="B18" i="17"/>
  <c r="C18" i="17" s="1"/>
  <c r="D18" i="17" s="1"/>
  <c r="B19" i="17"/>
  <c r="C19" i="17" s="1"/>
  <c r="D19" i="17" s="1"/>
  <c r="B22" i="17"/>
  <c r="C22" i="17"/>
  <c r="D22" i="17" s="1"/>
  <c r="B25" i="17"/>
  <c r="C25" i="17" s="1"/>
  <c r="D25" i="17" s="1"/>
  <c r="B27" i="17"/>
  <c r="C27" i="17" s="1"/>
  <c r="D27" i="17" s="1"/>
  <c r="B28" i="17"/>
  <c r="C28" i="17" s="1"/>
  <c r="D28" i="17" s="1"/>
  <c r="B29" i="17"/>
  <c r="C29" i="17"/>
  <c r="B30" i="17"/>
  <c r="B31" i="17"/>
  <c r="C31" i="17" s="1"/>
  <c r="D31" i="17" s="1"/>
  <c r="B33" i="17"/>
  <c r="C33" i="17" s="1"/>
  <c r="D33" i="17" s="1"/>
  <c r="B35" i="17"/>
  <c r="C35" i="17" s="1"/>
  <c r="D35" i="17" s="1"/>
  <c r="B36" i="17"/>
  <c r="C36" i="17" s="1"/>
  <c r="D36" i="17" s="1"/>
  <c r="B37" i="17"/>
  <c r="C37" i="17"/>
  <c r="D37" i="17" s="1"/>
  <c r="B38" i="17"/>
  <c r="C38" i="17"/>
  <c r="D38" i="17" s="1"/>
  <c r="B39" i="17"/>
  <c r="C39" i="17" s="1"/>
  <c r="D39" i="17" s="1"/>
  <c r="B42" i="17"/>
  <c r="C42" i="17" s="1"/>
  <c r="D42" i="17" s="1"/>
  <c r="B44" i="17"/>
  <c r="C44" i="17" s="1"/>
  <c r="D44" i="17" s="1"/>
  <c r="B45" i="17"/>
  <c r="C45" i="17" s="1"/>
  <c r="D45" i="17" s="1"/>
  <c r="B46" i="17"/>
  <c r="C46" i="17" s="1"/>
  <c r="D46" i="17" s="1"/>
  <c r="B47" i="17"/>
  <c r="C47" i="17" s="1"/>
  <c r="D47" i="17" s="1"/>
  <c r="B48" i="17"/>
  <c r="C48" i="17" s="1"/>
  <c r="D48" i="17" s="1"/>
  <c r="B50" i="17"/>
  <c r="C50" i="17" s="1"/>
  <c r="D50" i="17" s="1"/>
  <c r="B53" i="17"/>
  <c r="C53" i="17" s="1"/>
  <c r="D53" i="17" s="1"/>
  <c r="B54" i="17"/>
  <c r="C54" i="17" s="1"/>
  <c r="D54" i="17" s="1"/>
  <c r="B55" i="17"/>
  <c r="C55" i="17"/>
  <c r="B56" i="17"/>
  <c r="B10" i="17"/>
  <c r="B11" i="17"/>
  <c r="C11" i="17" s="1"/>
  <c r="D11" i="17" s="1"/>
  <c r="B12" i="17"/>
  <c r="C12" i="17" s="1"/>
  <c r="D12" i="17" s="1"/>
  <c r="B20" i="17"/>
  <c r="J41" i="17"/>
  <c r="AY4" i="17" s="1"/>
  <c r="B41" i="17"/>
  <c r="C41" i="17" s="1"/>
  <c r="D41" i="17" s="1"/>
  <c r="I41" i="17"/>
  <c r="AY3" i="17" s="1"/>
  <c r="J51" i="17"/>
  <c r="BI4" i="17" s="1"/>
  <c r="I51" i="17"/>
  <c r="BI3" i="17" s="1"/>
  <c r="B57" i="17"/>
  <c r="C57" i="17" s="1"/>
  <c r="D57" i="17" s="1"/>
  <c r="B58" i="17"/>
  <c r="C58" i="17" s="1"/>
  <c r="D58" i="17" s="1"/>
  <c r="B59" i="17"/>
  <c r="C59" i="17" s="1"/>
  <c r="D59" i="17" s="1"/>
  <c r="J60" i="17"/>
  <c r="BR4" i="17"/>
  <c r="I5" i="17"/>
  <c r="O3" i="17" s="1"/>
  <c r="I4" i="17"/>
  <c r="N3" i="17" s="1"/>
  <c r="B60" i="17"/>
  <c r="C60" i="17" s="1"/>
  <c r="D60" i="17" s="1"/>
  <c r="I60" i="17"/>
  <c r="BR3" i="17" s="1"/>
  <c r="B51" i="17"/>
  <c r="C51" i="17"/>
  <c r="D51" i="17" s="1"/>
  <c r="I6" i="17"/>
  <c r="P3" i="17" s="1"/>
  <c r="F25" i="2"/>
  <c r="B9" i="17"/>
  <c r="C9" i="17" s="1"/>
  <c r="D9" i="17" s="1"/>
  <c r="D55" i="17" l="1"/>
  <c r="C10" i="17"/>
  <c r="D10" i="17" s="1"/>
  <c r="C20" i="17"/>
  <c r="D20" i="17" s="1"/>
  <c r="C30" i="17"/>
  <c r="D30" i="17" s="1"/>
  <c r="X3" i="17"/>
  <c r="C56" i="17"/>
  <c r="D56" i="17" s="1"/>
  <c r="D29" i="17"/>
  <c r="I13" i="17"/>
  <c r="W3" i="17" s="1"/>
  <c r="I21" i="17"/>
  <c r="AE3" i="17" s="1"/>
  <c r="I24" i="17"/>
  <c r="AH3" i="17" s="1"/>
  <c r="I32" i="17"/>
  <c r="AP3" i="17" s="1"/>
  <c r="I40" i="17"/>
  <c r="AX3" i="17" s="1"/>
  <c r="I49" i="17"/>
  <c r="BG3" i="17" s="1"/>
  <c r="B24" i="17"/>
  <c r="C24" i="17" s="1"/>
  <c r="D24" i="17" s="1"/>
  <c r="B15" i="17"/>
  <c r="C15" i="17" s="1"/>
  <c r="D15" i="17" s="1"/>
  <c r="B13" i="17"/>
  <c r="C13" i="17" s="1"/>
  <c r="D13" i="17" s="1"/>
  <c r="B32" i="17"/>
  <c r="C32" i="17" s="1"/>
  <c r="D32" i="17" s="1"/>
  <c r="B21" i="17"/>
  <c r="C21" i="17" s="1"/>
  <c r="D21" i="17" s="1"/>
  <c r="B52" i="17"/>
  <c r="C52" i="17" s="1"/>
  <c r="D52" i="17" s="1"/>
  <c r="B43" i="17"/>
  <c r="C43" i="17" s="1"/>
  <c r="D43" i="17" s="1"/>
  <c r="B34" i="17"/>
  <c r="C34" i="17" s="1"/>
  <c r="D34" i="17" s="1"/>
  <c r="B26" i="17"/>
  <c r="C26" i="17" s="1"/>
  <c r="D26" i="17" s="1"/>
  <c r="B17" i="17"/>
  <c r="C17" i="17" s="1"/>
  <c r="D17" i="17" s="1"/>
  <c r="I17" i="17"/>
  <c r="AA3" i="17" s="1"/>
  <c r="I28" i="17"/>
  <c r="AL3" i="17" s="1"/>
  <c r="B23" i="17"/>
  <c r="C23" i="17" s="1"/>
  <c r="D23" i="17" s="1"/>
  <c r="I20" i="17"/>
  <c r="AD3" i="17" s="1"/>
  <c r="I12" i="17"/>
  <c r="V3" i="17" s="1"/>
  <c r="I31" i="17"/>
  <c r="AO3" i="17" s="1"/>
  <c r="I15" i="17"/>
  <c r="Y3" i="17" s="1"/>
  <c r="I23" i="17"/>
  <c r="AG3" i="17" s="1"/>
  <c r="I26" i="17"/>
  <c r="AJ3" i="17" s="1"/>
  <c r="B3" i="17"/>
  <c r="C3" i="17" s="1"/>
  <c r="D3" i="17" s="1"/>
  <c r="B6" i="17"/>
  <c r="C6" i="17" s="1"/>
  <c r="D6" i="17" s="1"/>
  <c r="B8" i="17"/>
  <c r="C8" i="17" s="1"/>
  <c r="D8" i="17" s="1"/>
  <c r="I8" i="17"/>
  <c r="R3" i="17" s="1"/>
  <c r="I9" i="17"/>
  <c r="S3" i="17" s="1"/>
  <c r="I7" i="17"/>
  <c r="Q3" i="17" s="1"/>
  <c r="B7" i="17"/>
  <c r="C7" i="17" s="1"/>
  <c r="D7" i="17" s="1"/>
  <c r="B5" i="17"/>
  <c r="C5" i="17" s="1"/>
  <c r="D5" i="17" s="1"/>
  <c r="B4" i="17"/>
  <c r="C4" i="17" s="1"/>
  <c r="D4" i="17" s="1"/>
  <c r="I3" i="17"/>
  <c r="M3" i="17" s="1"/>
  <c r="F26" i="2"/>
</calcChain>
</file>

<file path=xl/sharedStrings.xml><?xml version="1.0" encoding="utf-8"?>
<sst xmlns="http://schemas.openxmlformats.org/spreadsheetml/2006/main" count="288" uniqueCount="200">
  <si>
    <t>Toolkit Gestión del Cambio Nivel 1</t>
  </si>
  <si>
    <t>Tablero Fase 1</t>
  </si>
  <si>
    <t>Proyecto</t>
  </si>
  <si>
    <t>ANALISIS DEL PROYECTO</t>
  </si>
  <si>
    <t>Form y Lista</t>
  </si>
  <si>
    <t>CONSCIENCIA SITUACIONAL</t>
  </si>
  <si>
    <t>MATRIZ DE IMPACTO E INVOLUCRAMIENTO</t>
  </si>
  <si>
    <t>Análisis de Riesgos del Proyecto</t>
  </si>
  <si>
    <t>Identificar origen</t>
  </si>
  <si>
    <t>Detalle completo</t>
  </si>
  <si>
    <t>Atributos Organizacionales</t>
  </si>
  <si>
    <t>Riesgo Medio 
(Foco en la Audiencia)</t>
  </si>
  <si>
    <t>Riesgo ALTO</t>
  </si>
  <si>
    <t>INVOLUCRAMIENTO</t>
  </si>
  <si>
    <r>
      <rPr>
        <sz val="8"/>
        <color rgb="FF404040"/>
        <rFont val="Movistar Text"/>
      </rPr>
      <t xml:space="preserve">Trabajar con ellos
</t>
    </r>
    <r>
      <rPr>
        <b/>
        <sz val="8"/>
        <color rgb="FF404040"/>
        <rFont val="Movistar Text"/>
      </rPr>
      <t>Colaboración</t>
    </r>
  </si>
  <si>
    <r>
      <rPr>
        <sz val="8"/>
        <color rgb="FF404040"/>
        <rFont val="Movistar Text"/>
      </rPr>
      <t xml:space="preserve">Trabajar para ellos
</t>
    </r>
    <r>
      <rPr>
        <b/>
        <sz val="8"/>
        <color rgb="FF404040"/>
        <rFont val="Movistar Text"/>
      </rPr>
      <t>Compromiso</t>
    </r>
  </si>
  <si>
    <t>Riesgo Bajo</t>
  </si>
  <si>
    <t>Riesgo Medio 
(Foco en el Cambio)</t>
  </si>
  <si>
    <r>
      <rPr>
        <sz val="8"/>
        <color rgb="FF404040"/>
        <rFont val="Movistar Text"/>
      </rPr>
      <t xml:space="preserve">Mantenerlos informados con el mínimo esfuerzo
</t>
    </r>
    <r>
      <rPr>
        <b/>
        <sz val="8"/>
        <color rgb="FF000000"/>
        <rFont val="Movistar Text"/>
      </rPr>
      <t>Conciencia</t>
    </r>
  </si>
  <si>
    <r>
      <rPr>
        <sz val="8"/>
        <color rgb="FF404040"/>
        <rFont val="Movistar Text"/>
      </rPr>
      <t xml:space="preserve">Mantenerlos informados y nunca ignorados
</t>
    </r>
    <r>
      <rPr>
        <b/>
        <sz val="8"/>
        <color rgb="FF404040"/>
        <rFont val="Movistar Text"/>
      </rPr>
      <t>Entendimiento</t>
    </r>
  </si>
  <si>
    <t>Características del Cambio</t>
  </si>
  <si>
    <t>IMPACTO</t>
  </si>
  <si>
    <t>RIESGO</t>
  </si>
  <si>
    <t>ANALISIS DE GRUPOS</t>
  </si>
  <si>
    <t>ANÁLISIS DE IMPACTOS</t>
  </si>
  <si>
    <t>ANÁLISIS ADKAR</t>
  </si>
  <si>
    <t>Análisis de impacto por Grupos</t>
  </si>
  <si>
    <t>Evaluación ADKAR por Grupos</t>
  </si>
  <si>
    <t>EJEMPLO</t>
  </si>
  <si>
    <t>Tipo</t>
  </si>
  <si>
    <t>Tipo B</t>
  </si>
  <si>
    <t>Column1</t>
  </si>
  <si>
    <t>Pregunta</t>
  </si>
  <si>
    <t>Um</t>
  </si>
  <si>
    <t>Calculo por tipo B?</t>
  </si>
  <si>
    <t>Analisis de Riesgo</t>
  </si>
  <si>
    <t>Caracteristicas del Cambio</t>
  </si>
  <si>
    <t xml:space="preserve"> Alcance del cambio Impacta a …</t>
  </si>
  <si>
    <t>1 a 5</t>
  </si>
  <si>
    <t xml:space="preserve"> En relación al tamaño de la compañía, ¿cuál es el número de colaboradores impactados por el cambio? </t>
  </si>
  <si>
    <t xml:space="preserve">  ¿Cuál es la variación del Impacto en los grupos involucrados? </t>
  </si>
  <si>
    <t xml:space="preserve"> Considerando que hay 10 aspectos de Cambio, ¿Cuántos de ellos están cambiando? </t>
  </si>
  <si>
    <t xml:space="preserve"> Grado de cambio en procesos</t>
  </si>
  <si>
    <t xml:space="preserve"> Grado de cambio en tecnología y sistemas</t>
  </si>
  <si>
    <t xml:space="preserve"> Grado de cambio en roles</t>
  </si>
  <si>
    <t xml:space="preserve"> Grado de cambio en estructura organizacional</t>
  </si>
  <si>
    <t xml:space="preserve"> Grado de cambio general</t>
  </si>
  <si>
    <t>1.10</t>
  </si>
  <si>
    <t xml:space="preserve"> Grado de impacto en la compensación del empleado</t>
  </si>
  <si>
    <t xml:space="preserve"> Reducción en el personal total</t>
  </si>
  <si>
    <t xml:space="preserve"> Período de tiempo necesario para cambiar</t>
  </si>
  <si>
    <t xml:space="preserve"> Percepción de la necesidad de cambio por parte de Colaboradores y Lideres de la Organización impactados? </t>
  </si>
  <si>
    <t xml:space="preserve">¿Como perciben los colaboradores los Impactos de cambios pasados vividos en la Organización? </t>
  </si>
  <si>
    <t xml:space="preserve"> ¿Cuál es la Capacidad de cambio que tienen los grupos afectados?</t>
  </si>
  <si>
    <t xml:space="preserve"> ¿Como fue la experiencia de los grupos impactados en relación a Cambios anteriores? </t>
  </si>
  <si>
    <t xml:space="preserve"> ¿Existe una idea de Visión y Dirección compartida entre la Organización y el cambio? </t>
  </si>
  <si>
    <t xml:space="preserve"> Disponibilidad de recursos y fondos (Económicos, Técnicos, RRHH</t>
  </si>
  <si>
    <t xml:space="preserve"> Cultura organizacional y respuesta a los cambios</t>
  </si>
  <si>
    <t xml:space="preserve"> Refuerzo organizacional</t>
  </si>
  <si>
    <t xml:space="preserve"> Estilo de liderazgo y distribución del poder</t>
  </si>
  <si>
    <t>2.10</t>
  </si>
  <si>
    <t xml:space="preserve"> Competencias de cambio de la dirección</t>
  </si>
  <si>
    <t xml:space="preserve"> Competencias de cambio de la gerencia</t>
  </si>
  <si>
    <t xml:space="preserve"> Competencias de cambio de los empleados</t>
  </si>
  <si>
    <t xml:space="preserve"> </t>
  </si>
  <si>
    <t>Consciencia Situacional - Características del Cambio</t>
  </si>
  <si>
    <t>1.1 Alcance del cambio Impacta a …</t>
  </si>
  <si>
    <t>1) Alcance del cambio Impacta a …</t>
  </si>
  <si>
    <t>1.A un grupo de trabajo</t>
  </si>
  <si>
    <t>1 = A un grupo de trabajo</t>
  </si>
  <si>
    <t xml:space="preserve"> 2 = Una o varias jefaturas</t>
  </si>
  <si>
    <t>3 = Una o varias gerencias</t>
  </si>
  <si>
    <t>4= Una o varias direcciones</t>
  </si>
  <si>
    <t>5 = Toda la Organización</t>
  </si>
  <si>
    <t xml:space="preserve"> 2. Una o varias jefaturas</t>
  </si>
  <si>
    <t xml:space="preserve">2) En relación al tamaño de la compañía, ¿cuál es el número de colaboradores impactados por el cambio? </t>
  </si>
  <si>
    <t>3. Una o varias gerencias</t>
  </si>
  <si>
    <t>1 = Menos del 20%</t>
  </si>
  <si>
    <t xml:space="preserve"> 2 = Entre 20% y 45%</t>
  </si>
  <si>
    <t>3 = Entre 45% y 70%</t>
  </si>
  <si>
    <t>4= Entre 70% y 95%</t>
  </si>
  <si>
    <t>5 = 100%</t>
  </si>
  <si>
    <t>4. Una o varias direcciones</t>
  </si>
  <si>
    <t xml:space="preserve">3)  ¿Cuál es la variación del Impacto en los grupos involucrados? </t>
  </si>
  <si>
    <t>5. Toda la Organización</t>
  </si>
  <si>
    <t>1 =Todos los grupos afectados por igual</t>
  </si>
  <si>
    <t>3 = Hay alguna variación del impacto entre grupos</t>
  </si>
  <si>
    <t>5 = Todos los grupos con diferentes Impactos</t>
  </si>
  <si>
    <r>
      <rPr>
        <b/>
        <sz val="12"/>
        <color rgb="FF002060"/>
        <rFont val="Colour Sans"/>
      </rPr>
      <t xml:space="preserve">4) Considerando que hay 10 aspectos de Cambio, ¿Cuántos de ellos están cambiando? 
</t>
    </r>
    <r>
      <rPr>
        <b/>
        <sz val="10"/>
        <color rgb="FF002060"/>
        <rFont val="Colour Sans"/>
      </rPr>
      <t xml:space="preserve">(Procesos, Sistemas, Herramientas,Roles, Comportamientos, Estructura, Performance, Ubicación, Mindsets/Actitudes /Creencias, Compensaciones)
</t>
    </r>
  </si>
  <si>
    <t>1 = 1 solo aspecto</t>
  </si>
  <si>
    <t xml:space="preserve"> 2 = de 2 a 3  aspectos</t>
  </si>
  <si>
    <t>3 = de 4 a 5 aspectos</t>
  </si>
  <si>
    <t>4 = de 6 a 8 los aspectos</t>
  </si>
  <si>
    <t>5 = de 9 a 10 aspectos</t>
  </si>
  <si>
    <t>5) Grado de cambio en procesos</t>
  </si>
  <si>
    <t>1 = Sin Cambios</t>
  </si>
  <si>
    <t xml:space="preserve"> 2 = Leve</t>
  </si>
  <si>
    <t>3 = Significativo</t>
  </si>
  <si>
    <t>4= Casi totalmente</t>
  </si>
  <si>
    <t>5 = Totalmente</t>
  </si>
  <si>
    <t>6) Grado de cambio en tecnología y sistemas</t>
  </si>
  <si>
    <t>7) Grado de cambio en roles</t>
  </si>
  <si>
    <t>8) Grado de cambio en estructura organizacional</t>
  </si>
  <si>
    <t>9) Grado de cambio general</t>
  </si>
  <si>
    <t>1 = Incremental</t>
  </si>
  <si>
    <t>5 = Radical</t>
  </si>
  <si>
    <t>10) Grado de impacto en la compensación del empleado</t>
  </si>
  <si>
    <t>1 = Sin impacto en sueldo o beneficios</t>
  </si>
  <si>
    <t>5 = Alto impacto en sueldo o beneficios</t>
  </si>
  <si>
    <t>11) Reducción en el personal total</t>
  </si>
  <si>
    <t>1 = Sin cambios</t>
  </si>
  <si>
    <t>5 =  Cambios significativos</t>
  </si>
  <si>
    <t>12) Período de tiempo necesario para cambiar</t>
  </si>
  <si>
    <t>1 = Menor a un mes</t>
  </si>
  <si>
    <t xml:space="preserve"> 2 =  entre 1 y 2 meses</t>
  </si>
  <si>
    <t>3 = entre 3 y 4 meses</t>
  </si>
  <si>
    <t>4=  entre 5 y 6 meses</t>
  </si>
  <si>
    <t>5 = más de 6 meses</t>
  </si>
  <si>
    <t>Score</t>
  </si>
  <si>
    <t>Notas: factores de cambio que generen mayor impacto o riesgo para el proyecto</t>
  </si>
  <si>
    <t xml:space="preserve">Salud del Equipo </t>
  </si>
  <si>
    <t>Salud del Equipo - Ayuda</t>
  </si>
  <si>
    <t>POR QUÉ?</t>
  </si>
  <si>
    <t>QUÉ?</t>
  </si>
  <si>
    <t>CUÁNDO?</t>
  </si>
  <si>
    <t>CÓMO?</t>
  </si>
  <si>
    <t xml:space="preserve">Si querés más información para completar este entregable consultá la bibliografía </t>
  </si>
  <si>
    <t>Link al ppt de PCT</t>
  </si>
  <si>
    <t>Consciencia Situacional - Atributos Organizacionales</t>
  </si>
  <si>
    <t xml:space="preserve">1) Percepción de la necesidad de cambio por parte de Colaboradores y Lideres de la Organización impactados? </t>
  </si>
  <si>
    <t>1 = Descontentos con el
 estado actual, consideran muy importante la necesidad de un cambio</t>
  </si>
  <si>
    <t>5 = No ven una necesidad de cambio – satisfechos con el estado actual</t>
  </si>
  <si>
    <t xml:space="preserve">2)¿Como perciben los colaboradores los Impactos de cambios pasados vividos en la Organización? </t>
  </si>
  <si>
    <t>1 = perciben el cambio anterior positivamente</t>
  </si>
  <si>
    <t xml:space="preserve"> 2 = Entre 1000 y 5000</t>
  </si>
  <si>
    <t>3 = Entre 5000 y 15000</t>
  </si>
  <si>
    <t>5= perciben el cambio anterior negativamente</t>
  </si>
  <si>
    <t>5 = Mas de 20000</t>
  </si>
  <si>
    <t>3) ¿Cuál es la Capacidad de cambio que tienen los grupos afectados?</t>
  </si>
  <si>
    <t>1 = pocos los cambios se están produciendo en la organización y que afectan a estos grupos</t>
  </si>
  <si>
    <t>5= Se están produciendo muchos cambios en la organización que afectan a estos grupos</t>
  </si>
  <si>
    <t xml:space="preserve">4) ¿Como fue la experiencia de los grupos impactados en relación a Cambios anteriores? 
</t>
  </si>
  <si>
    <t>1 =El cambio fue exitoso y estuvo bien gestionado</t>
  </si>
  <si>
    <t>5 = Proyectos fallidos o mal gestionados</t>
  </si>
  <si>
    <t xml:space="preserve">5) ¿Existe una idea de Visión y Dirección compartida entre la Organización y el cambio? </t>
  </si>
  <si>
    <t>1 = Ampliamente compartida</t>
  </si>
  <si>
    <t>5 = Poco compartida y diferentes prioridades</t>
  </si>
  <si>
    <t xml:space="preserve">6) Disponibilidad de recursos y fondos (Económicos, Técnicos, RRHH) </t>
  </si>
  <si>
    <t>1 = Adecuados</t>
  </si>
  <si>
    <t>3 = Limitados</t>
  </si>
  <si>
    <t>5 = Muy limitados</t>
  </si>
  <si>
    <t>7) Cultura organizacional y respuesta a los cambios</t>
  </si>
  <si>
    <t>1 = Abierta y receptiva a nuevas ideas de cambio</t>
  </si>
  <si>
    <t>5 = Cerrada y resistente a nuevas ideas de cambio</t>
  </si>
  <si>
    <t>8) Refuerzo organizacional</t>
  </si>
  <si>
    <t>1 = Empleados recompensados por tomar riesgos y  cambiar el status quo</t>
  </si>
  <si>
    <t>5 = Empleados recompensados por consistencia y previsibilidad</t>
  </si>
  <si>
    <t>9) Estilo de liderazgo y distribución del poder</t>
  </si>
  <si>
    <t>1 = Centralizado</t>
  </si>
  <si>
    <t>5 = Distribuido</t>
  </si>
  <si>
    <t>10) Competencias de cambio de la dirección</t>
  </si>
  <si>
    <t>1 = Demuestran esponsoreo efectivo en procesos de cambio</t>
  </si>
  <si>
    <t>5 = Demuestran falta de habilidades de cambio</t>
  </si>
  <si>
    <t>11) Competencias de cambio de la gerencia</t>
  </si>
  <si>
    <t>12) Competencias de cambio de los empleados</t>
  </si>
  <si>
    <t>1 = Empleados altamente competentes en procesos de cambio</t>
  </si>
  <si>
    <t>5 = Empleados sin habilidades de cambio</t>
  </si>
  <si>
    <t xml:space="preserve">Grupo </t>
  </si>
  <si>
    <t>Grado impacto</t>
  </si>
  <si>
    <t>Nro aspectos</t>
  </si>
  <si>
    <t>Grupo 31</t>
  </si>
  <si>
    <t>Grupo 32</t>
  </si>
  <si>
    <t>Grupo 33</t>
  </si>
  <si>
    <t>Grupo 34</t>
  </si>
  <si>
    <t>Grupo 35</t>
  </si>
  <si>
    <t>Grupo 36</t>
  </si>
  <si>
    <t>Grupo 37</t>
  </si>
  <si>
    <t>Grupo 38</t>
  </si>
  <si>
    <t>Grupo 39</t>
  </si>
  <si>
    <t>Grupo 40</t>
  </si>
  <si>
    <t>Grupo 41</t>
  </si>
  <si>
    <t>Grupo 42</t>
  </si>
  <si>
    <t>Grupo 43</t>
  </si>
  <si>
    <t>Grupo 44</t>
  </si>
  <si>
    <t>Grupo 45</t>
  </si>
  <si>
    <t>Grupo 46</t>
  </si>
  <si>
    <t>Grupo 47</t>
  </si>
  <si>
    <t>Grupo 48</t>
  </si>
  <si>
    <t>Grupo 49</t>
  </si>
  <si>
    <t>Grupo 50</t>
  </si>
  <si>
    <t>Grupo 51</t>
  </si>
  <si>
    <t>Grupo 52</t>
  </si>
  <si>
    <t>Grupo 53</t>
  </si>
  <si>
    <t>Grupo 54</t>
  </si>
  <si>
    <t>Grupo 55</t>
  </si>
  <si>
    <t>Grupo 56</t>
  </si>
  <si>
    <t>Grupo 57</t>
  </si>
  <si>
    <t>Grupo 58</t>
  </si>
  <si>
    <t>Grupo 59</t>
  </si>
  <si>
    <t>Grupo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</si>
</sst>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Movistar Text"/>
    </font>
    <font>
      <b/>
      <sz val="11"/>
      <color theme="1"/>
      <name val="Movistar Text"/>
    </font>
    <font>
      <b/>
      <sz val="11"/>
      <color theme="0"/>
      <name val="Movistar Text"/>
    </font>
    <font>
      <sz val="9"/>
      <color theme="1" tint="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ACE9"/>
      <name val="Movistar Text"/>
    </font>
    <font>
      <sz val="12"/>
      <color theme="1"/>
      <name val="Movistar Text"/>
    </font>
    <font>
      <u/>
      <sz val="12"/>
      <color theme="1"/>
      <name val="Movistar Text"/>
    </font>
    <font>
      <b/>
      <sz val="12"/>
      <color theme="1"/>
      <name val="Movistar Text"/>
    </font>
    <font>
      <sz val="9"/>
      <color theme="1"/>
      <name val="Movistar Text"/>
    </font>
    <font>
      <sz val="8"/>
      <color theme="1"/>
      <name val="Movistar Text"/>
    </font>
    <font>
      <b/>
      <sz val="10"/>
      <color theme="1"/>
      <name val="Movistar Text"/>
    </font>
    <font>
      <u/>
      <sz val="11"/>
      <color theme="10"/>
      <name val="Calibri"/>
      <family val="2"/>
      <scheme val="minor"/>
    </font>
    <font>
      <i/>
      <sz val="12"/>
      <color theme="1"/>
      <name val="Movistar Text"/>
    </font>
    <font>
      <b/>
      <sz val="14"/>
      <color theme="1"/>
      <name val="Movistar Text"/>
    </font>
    <font>
      <i/>
      <u/>
      <sz val="11"/>
      <color rgb="FF00ACE9"/>
      <name val="Movistar Text"/>
    </font>
    <font>
      <sz val="10"/>
      <color theme="1"/>
      <name val="Movistar Text"/>
    </font>
    <font>
      <i/>
      <sz val="11"/>
      <color theme="1" tint="0.249977111117893"/>
      <name val="Movistar Text"/>
    </font>
    <font>
      <sz val="8"/>
      <color theme="1" tint="0.249977111117893"/>
      <name val="Movistar Text"/>
    </font>
    <font>
      <sz val="8"/>
      <color rgb="FF404040"/>
      <name val="Movistar Text"/>
    </font>
    <font>
      <b/>
      <sz val="8"/>
      <color rgb="FF000000"/>
      <name val="Movistar Text"/>
    </font>
    <font>
      <b/>
      <sz val="8"/>
      <color rgb="FF404040"/>
      <name val="Movistar Text"/>
    </font>
    <font>
      <b/>
      <sz val="16"/>
      <color rgb="FF00ACE9"/>
      <name val="Colour Sans"/>
      <family val="3"/>
    </font>
    <font>
      <b/>
      <sz val="16"/>
      <color rgb="FF002060"/>
      <name val="Colour Sans"/>
      <family val="3"/>
    </font>
    <font>
      <b/>
      <sz val="11"/>
      <color theme="1"/>
      <name val="Colour Sans"/>
      <family val="3"/>
    </font>
    <font>
      <sz val="11"/>
      <color theme="1"/>
      <name val="Colour Sans"/>
      <family val="3"/>
    </font>
    <font>
      <b/>
      <sz val="11"/>
      <color rgb="FF002060"/>
      <name val="Movistar Text"/>
    </font>
    <font>
      <sz val="11"/>
      <color rgb="FF002060"/>
      <name val="Movistar Text"/>
    </font>
    <font>
      <sz val="11"/>
      <color rgb="FF002060"/>
      <name val="Colour Sans"/>
      <family val="3"/>
    </font>
    <font>
      <b/>
      <sz val="11"/>
      <color theme="3"/>
      <name val="Colour Sans"/>
      <family val="3"/>
    </font>
    <font>
      <sz val="11"/>
      <color theme="3"/>
      <name val="Colour Sans"/>
      <family val="3"/>
    </font>
    <font>
      <sz val="10"/>
      <color theme="1" tint="0.249977111117893"/>
      <name val="Calibri"/>
      <family val="2"/>
      <scheme val="minor"/>
    </font>
    <font>
      <b/>
      <sz val="12"/>
      <color rgb="FF002060"/>
      <name val="Colour Sans"/>
      <family val="3"/>
    </font>
    <font>
      <sz val="11"/>
      <color theme="1"/>
      <name val="Aptos"/>
      <family val="2"/>
    </font>
    <font>
      <b/>
      <sz val="12"/>
      <color rgb="FF002060"/>
      <name val="Colour Sans"/>
    </font>
    <font>
      <b/>
      <sz val="10"/>
      <color rgb="FF002060"/>
      <name val="Colour Sans"/>
    </font>
    <font>
      <b/>
      <sz val="11"/>
      <color theme="0"/>
      <name val="Colour Sans"/>
      <family val="3"/>
    </font>
    <font>
      <sz val="11"/>
      <color rgb="FF242424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CDF2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1F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85892"/>
        <bgColor indexed="64"/>
      </patternFill>
    </fill>
    <fill>
      <patternFill patternType="solid">
        <fgColor rgb="FFE06EC8"/>
        <bgColor indexed="64"/>
      </patternFill>
    </fill>
    <fill>
      <patternFill patternType="solid">
        <fgColor rgb="FFF3C5E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ACE9"/>
      </left>
      <right style="thin">
        <color rgb="FF00ACE9"/>
      </right>
      <top style="thin">
        <color rgb="FF00ACE9"/>
      </top>
      <bottom style="thin">
        <color rgb="FF00ACE9"/>
      </bottom>
      <diagonal/>
    </border>
    <border>
      <left style="thin">
        <color rgb="FF00ACE9"/>
      </left>
      <right/>
      <top style="thin">
        <color rgb="FF00ACE9"/>
      </top>
      <bottom style="thin">
        <color rgb="FF00ACE9"/>
      </bottom>
      <diagonal/>
    </border>
    <border>
      <left/>
      <right/>
      <top style="thin">
        <color rgb="FF00ACE9"/>
      </top>
      <bottom style="thin">
        <color rgb="FF00ACE9"/>
      </bottom>
      <diagonal/>
    </border>
    <border>
      <left/>
      <right style="thin">
        <color rgb="FF00ACE9"/>
      </right>
      <top style="thin">
        <color rgb="FF00ACE9"/>
      </top>
      <bottom style="thin">
        <color rgb="FF00ACE9"/>
      </bottom>
      <diagonal/>
    </border>
    <border>
      <left style="thin">
        <color rgb="FF5BC500"/>
      </left>
      <right style="thin">
        <color rgb="FF5BC500"/>
      </right>
      <top style="thin">
        <color rgb="FF5BC500"/>
      </top>
      <bottom style="thin">
        <color rgb="FF5BC500"/>
      </bottom>
      <diagonal/>
    </border>
    <border>
      <left style="thin">
        <color rgb="FF5BC500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wrapText="1" readingOrder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1" fillId="4" borderId="0" xfId="0" applyFont="1" applyFill="1"/>
    <xf numFmtId="0" fontId="7" fillId="2" borderId="2" xfId="0" applyFont="1" applyFill="1" applyBorder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left" wrapText="1" readingOrder="1"/>
    </xf>
    <xf numFmtId="0" fontId="15" fillId="0" borderId="0" xfId="0" applyFont="1" applyAlignment="1">
      <alignment horizontal="left" vertical="center" readingOrder="1"/>
    </xf>
    <xf numFmtId="0" fontId="12" fillId="0" borderId="0" xfId="0" applyFont="1"/>
    <xf numFmtId="0" fontId="13" fillId="0" borderId="0" xfId="1" applyAlignment="1"/>
    <xf numFmtId="0" fontId="18" fillId="0" borderId="0" xfId="0" applyFont="1" applyAlignment="1">
      <alignment textRotation="90"/>
    </xf>
    <xf numFmtId="0" fontId="7" fillId="10" borderId="0" xfId="0" applyFont="1" applyFill="1" applyAlignment="1">
      <alignment horizontal="center"/>
    </xf>
    <xf numFmtId="0" fontId="27" fillId="0" borderId="0" xfId="0" applyFont="1"/>
    <xf numFmtId="0" fontId="28" fillId="0" borderId="0" xfId="0" applyFont="1"/>
    <xf numFmtId="0" fontId="28" fillId="0" borderId="1" xfId="0" applyFont="1" applyBorder="1"/>
    <xf numFmtId="0" fontId="29" fillId="0" borderId="0" xfId="0" applyFont="1"/>
    <xf numFmtId="0" fontId="23" fillId="0" borderId="0" xfId="0" applyFont="1"/>
    <xf numFmtId="0" fontId="26" fillId="0" borderId="0" xfId="0" applyFont="1"/>
    <xf numFmtId="0" fontId="9" fillId="11" borderId="6" xfId="0" applyFont="1" applyFill="1" applyBorder="1" applyAlignment="1">
      <alignment horizontal="center"/>
    </xf>
    <xf numFmtId="0" fontId="1" fillId="11" borderId="0" xfId="0" applyFont="1" applyFill="1"/>
    <xf numFmtId="0" fontId="24" fillId="0" borderId="0" xfId="0" applyFont="1"/>
    <xf numFmtId="0" fontId="30" fillId="0" borderId="0" xfId="0" applyFont="1"/>
    <xf numFmtId="0" fontId="31" fillId="0" borderId="0" xfId="0" applyFont="1"/>
    <xf numFmtId="0" fontId="1" fillId="11" borderId="3" xfId="0" applyFont="1" applyFill="1" applyBorder="1"/>
    <xf numFmtId="0" fontId="1" fillId="11" borderId="4" xfId="0" applyFont="1" applyFill="1" applyBorder="1"/>
    <xf numFmtId="0" fontId="1" fillId="11" borderId="5" xfId="0" applyFont="1" applyFill="1" applyBorder="1"/>
    <xf numFmtId="0" fontId="3" fillId="9" borderId="0" xfId="0" applyFont="1" applyFill="1" applyAlignment="1">
      <alignment horizontal="left" indent="1"/>
    </xf>
    <xf numFmtId="0" fontId="1" fillId="9" borderId="0" xfId="0" applyFont="1" applyFill="1"/>
    <xf numFmtId="0" fontId="9" fillId="12" borderId="6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25" fillId="0" borderId="0" xfId="0" applyFont="1"/>
    <xf numFmtId="0" fontId="37" fillId="9" borderId="0" xfId="0" applyFont="1" applyFill="1" applyAlignment="1">
      <alignment horizontal="left" indent="1"/>
    </xf>
    <xf numFmtId="0" fontId="26" fillId="11" borderId="0" xfId="0" applyFont="1" applyFill="1"/>
    <xf numFmtId="0" fontId="34" fillId="0" borderId="0" xfId="0" applyFont="1"/>
    <xf numFmtId="0" fontId="38" fillId="0" borderId="0" xfId="0" applyFont="1"/>
    <xf numFmtId="49" fontId="34" fillId="0" borderId="0" xfId="0" applyNumberFormat="1" applyFont="1"/>
    <xf numFmtId="0" fontId="4" fillId="0" borderId="0" xfId="0" applyFont="1" applyAlignment="1">
      <alignment horizontal="left" wrapText="1" readingOrder="1"/>
    </xf>
    <xf numFmtId="0" fontId="4" fillId="0" borderId="0" xfId="0" applyFont="1" applyAlignment="1">
      <alignment horizontal="right" wrapText="1" readingOrder="1"/>
    </xf>
    <xf numFmtId="0" fontId="33" fillId="0" borderId="0" xfId="0" applyFont="1" applyAlignment="1">
      <alignment horizontal="left" vertical="center" wrapText="1" readingOrder="1"/>
    </xf>
    <xf numFmtId="0" fontId="3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wrapText="1" readingOrder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1" applyAlignment="1">
      <alignment horizontal="center"/>
    </xf>
    <xf numFmtId="0" fontId="10" fillId="0" borderId="0" xfId="0" applyFont="1" applyAlignment="1">
      <alignment horizontal="right"/>
    </xf>
    <xf numFmtId="0" fontId="17" fillId="8" borderId="8" xfId="0" applyFont="1" applyFill="1" applyBorder="1" applyAlignment="1">
      <alignment horizontal="center" wrapText="1"/>
    </xf>
    <xf numFmtId="0" fontId="17" fillId="8" borderId="9" xfId="0" applyFont="1" applyFill="1" applyBorder="1" applyAlignment="1">
      <alignment horizontal="center"/>
    </xf>
    <xf numFmtId="0" fontId="17" fillId="8" borderId="10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8" fillId="0" borderId="0" xfId="0" applyFont="1" applyAlignment="1">
      <alignment horizontal="center" textRotation="90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 textRotation="90"/>
    </xf>
    <xf numFmtId="0" fontId="20" fillId="6" borderId="8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wrapText="1" readingOrder="1"/>
    </xf>
    <xf numFmtId="0" fontId="32" fillId="0" borderId="0" xfId="0" applyFont="1" applyAlignment="1">
      <alignment horizontal="left" wrapText="1" readingOrder="1"/>
    </xf>
    <xf numFmtId="0" fontId="32" fillId="0" borderId="0" xfId="0" applyFont="1" applyAlignment="1">
      <alignment horizontal="right" wrapText="1" readingOrder="1"/>
    </xf>
    <xf numFmtId="0" fontId="32" fillId="0" borderId="0" xfId="0" applyFont="1" applyAlignment="1">
      <alignment wrapText="1" readingOrder="1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5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9">
    <dxf>
      <font>
        <strike val="0"/>
        <color theme="1"/>
      </font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lour Sans"/>
        <family val="3"/>
        <scheme val="none"/>
      </font>
      <fill>
        <patternFill patternType="solid">
          <fgColor indexed="64"/>
          <bgColor rgb="FF885892"/>
        </patternFill>
      </fill>
    </dxf>
  </dxfs>
  <tableStyles count="0" defaultTableStyle="TableStyleMedium2" defaultPivotStyle="PivotStyleLight16"/>
  <colors>
    <mruColors>
      <color rgb="FF885892"/>
      <color rgb="FFF3C5E9"/>
      <color rgb="FFE06EC8"/>
      <color rgb="FFFF5050"/>
      <color rgb="FFF66050"/>
      <color rgb="FFFF4343"/>
      <color rgb="FF00CC00"/>
      <color rgb="FFFF6600"/>
      <color rgb="FF00ACE9"/>
      <color rgb="FFE1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59546782004365"/>
          <c:y val="0.13148299913250028"/>
          <c:w val="0.7557554249380799"/>
          <c:h val="0.67123887738206045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Tablero!$B$25</c:f>
              <c:strCache>
                <c:ptCount val="1"/>
                <c:pt idx="0">
                  <c:v>Atributos Organizacionales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762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762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AC0-4E64-9C46-682F6FB0FD14}"/>
              </c:ext>
            </c:extLst>
          </c:dPt>
          <c:xVal>
            <c:numRef>
              <c:f>Tablero!$D$24:$F$24</c:f>
              <c:numCache>
                <c:formatCode>General</c:formatCode>
                <c:ptCount val="3"/>
                <c:pt idx="2">
                  <c:v>39</c:v>
                </c:pt>
              </c:numCache>
            </c:numRef>
          </c:xVal>
          <c:yVal>
            <c:numRef>
              <c:f>Tablero!$D$25:$F$25</c:f>
              <c:numCache>
                <c:formatCode>General</c:formatCode>
                <c:ptCount val="3"/>
                <c:pt idx="2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8-4E86-AA09-0DA7C545C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060568"/>
        <c:axId val="581060240"/>
      </c:scatterChart>
      <c:valAx>
        <c:axId val="58106056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i="1"/>
                  <a:t>Características del Cambio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1060240"/>
        <c:crosses val="autoZero"/>
        <c:crossBetween val="midCat"/>
        <c:majorUnit val="30"/>
        <c:minorUnit val="30"/>
      </c:valAx>
      <c:valAx>
        <c:axId val="581060240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i="1"/>
                  <a:t>Atributos Organizacionales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1060568"/>
        <c:crossesAt val="0"/>
        <c:crossBetween val="midCat"/>
        <c:majorUnit val="30"/>
        <c:min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'Matriz de impactos graficos'!$L$4</c:f>
              <c:strCache>
                <c:ptCount val="1"/>
                <c:pt idx="0">
                  <c:v>Nro aspectos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strRef>
                  <c:f>'Matriz de impactos graficos'!$M$2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{66E493EA-D56F-4C90-AA97-2259BEC5561A}</c15:txfldGUID>
                      <c15:f>'Matriz de impactos graficos'!$M$2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9B0-4600-A12E-DC4271955E8E}"/>
                </c:ext>
              </c:extLst>
            </c:dLbl>
            <c:dLbl>
              <c:idx val="1"/>
              <c:tx>
                <c:strRef>
                  <c:f>'Matriz de impactos graficos'!$N$2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{373BB9C2-DC3C-4E2D-8EF4-DD4F2F682F74}</c15:txfldGUID>
                      <c15:f>'Matriz de impactos graficos'!$N$2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9B0-4600-A12E-DC4271955E8E}"/>
                </c:ext>
              </c:extLst>
            </c:dLbl>
            <c:dLbl>
              <c:idx val="2"/>
              <c:tx>
                <c:strRef>
                  <c:f>'Matriz de impactos graficos'!$O$2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{52B1A7AE-2FED-49BC-B3A3-D8991ADC2757}</c15:txfldGUID>
                      <c15:f>'Matriz de impactos graficos'!$O$2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9B0-4600-A12E-DC4271955E8E}"/>
                </c:ext>
              </c:extLst>
            </c:dLbl>
            <c:dLbl>
              <c:idx val="3"/>
              <c:tx>
                <c:strRef>
                  <c:f>'Matriz de impactos graficos'!$P$2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{C835FF24-65E1-4DE8-B1F9-7D56BEE32B32}</c15:txfldGUID>
                      <c15:f>'Matriz de impactos graficos'!$P$2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9B0-4600-A12E-DC4271955E8E}"/>
                </c:ext>
              </c:extLst>
            </c:dLbl>
            <c:dLbl>
              <c:idx val="4"/>
              <c:tx>
                <c:strRef>
                  <c:f>'Matriz de impactos graficos'!$Q$2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{7BF4DAC0-8CB9-4D9C-B7DE-9E8A1E114841}</c15:txfldGUID>
                      <c15:f>'Matriz de impactos graficos'!$Q$2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9B0-4600-A12E-DC4271955E8E}"/>
                </c:ext>
              </c:extLst>
            </c:dLbl>
            <c:dLbl>
              <c:idx val="5"/>
              <c:tx>
                <c:strRef>
                  <c:f>'Matriz de impactos graficos'!$R$2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{2B64CEE0-BCA2-446F-8F95-9C08F4FE6528}</c15:txfldGUID>
                      <c15:f>'Matriz de impactos graficos'!$R$2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9B0-4600-A12E-DC4271955E8E}"/>
                </c:ext>
              </c:extLst>
            </c:dLbl>
            <c:dLbl>
              <c:idx val="6"/>
              <c:tx>
                <c:strRef>
                  <c:f>'Matriz de impactos graficos'!$S$2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{4B218190-BAAD-4413-9946-FEC9893EBEEF}</c15:txfldGUID>
                      <c15:f>'Matriz de impactos graficos'!$S$2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9B0-4600-A12E-DC4271955E8E}"/>
                </c:ext>
              </c:extLst>
            </c:dLbl>
            <c:dLbl>
              <c:idx val="7"/>
              <c:tx>
                <c:strRef>
                  <c:f>'Matriz de impactos graficos'!$T$2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{7E14B8EB-6A4C-4599-98C4-7D484C37E9D7}</c15:txfldGUID>
                      <c15:f>'Matriz de impactos graficos'!$T$2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9B0-4600-A12E-DC4271955E8E}"/>
                </c:ext>
              </c:extLst>
            </c:dLbl>
            <c:dLbl>
              <c:idx val="8"/>
              <c:tx>
                <c:strRef>
                  <c:f>'Matriz de impactos graficos'!$U$2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{D8242D4D-DD00-4DE7-9079-0E726051D866}</c15:txfldGUID>
                      <c15:f>'Matriz de impactos graficos'!$U$2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9B0-4600-A12E-DC4271955E8E}"/>
                </c:ext>
              </c:extLst>
            </c:dLbl>
            <c:dLbl>
              <c:idx val="9"/>
              <c:tx>
                <c:strRef>
                  <c:f>'Matriz de impactos graficos'!$V$2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{1D3195B1-E8FA-4B55-991A-F936B5307C0E}</c15:txfldGUID>
                      <c15:f>'Matriz de impactos graficos'!$V$2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9B0-4600-A12E-DC4271955E8E}"/>
                </c:ext>
              </c:extLst>
            </c:dLbl>
            <c:dLbl>
              <c:idx val="10"/>
              <c:tx>
                <c:strRef>
                  <c:f>'Matriz de impactos graficos'!$W$2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{521A92A7-4C75-4EA9-8246-DBBFCA5D9685}</c15:txfldGUID>
                      <c15:f>'Matriz de impactos graficos'!$W$2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9B0-4600-A12E-DC4271955E8E}"/>
                </c:ext>
              </c:extLst>
            </c:dLbl>
            <c:dLbl>
              <c:idx val="11"/>
              <c:tx>
                <c:strRef>
                  <c:f>'Matriz de impactos graficos'!$X$2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{605DFF60-03A3-49BB-AD35-BBF3840B912C}</c15:txfldGUID>
                      <c15:f>'Matriz de impactos graficos'!$X$2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9B0-4600-A12E-DC4271955E8E}"/>
                </c:ext>
              </c:extLst>
            </c:dLbl>
            <c:dLbl>
              <c:idx val="12"/>
              <c:tx>
                <c:strRef>
                  <c:f>'Matriz de impactos graficos'!$Y$2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{5DEDE99F-DAA6-492F-A0C0-DB2F6F0EE5E7}</c15:txfldGUID>
                      <c15:f>'Matriz de impactos graficos'!$Y$2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9B0-4600-A12E-DC4271955E8E}"/>
                </c:ext>
              </c:extLst>
            </c:dLbl>
            <c:dLbl>
              <c:idx val="13"/>
              <c:tx>
                <c:strRef>
                  <c:f>'Matriz de impactos graficos'!$Z$2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{6877EA73-D543-4E30-9CDE-05B0CF909B74}</c15:txfldGUID>
                      <c15:f>'Matriz de impactos graficos'!$Z$2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9B0-4600-A12E-DC4271955E8E}"/>
                </c:ext>
              </c:extLst>
            </c:dLbl>
            <c:dLbl>
              <c:idx val="14"/>
              <c:tx>
                <c:strRef>
                  <c:f>'Matriz de impactos graficos'!$AA$2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{EBAF6DCB-E815-4DD5-9943-1B485F56AFD3}</c15:txfldGUID>
                      <c15:f>'Matriz de impactos graficos'!$AA$2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9B0-4600-A12E-DC4271955E8E}"/>
                </c:ext>
              </c:extLst>
            </c:dLbl>
            <c:dLbl>
              <c:idx val="15"/>
              <c:tx>
                <c:strRef>
                  <c:f>'Matriz de impactos graficos'!$AB$2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{FA8DE21F-A9D2-46B3-822E-58D32AF3652A}</c15:txfldGUID>
                      <c15:f>'Matriz de impactos graficos'!$AB$2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9B0-4600-A12E-DC4271955E8E}"/>
                </c:ext>
              </c:extLst>
            </c:dLbl>
            <c:dLbl>
              <c:idx val="16"/>
              <c:tx>
                <c:strRef>
                  <c:f>'Matriz de impactos graficos'!$AC$2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{6AEC658A-1503-4FA9-A808-000AC86E5ACB}</c15:txfldGUID>
                      <c15:f>'Matriz de impactos graficos'!$AC$2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9B0-4600-A12E-DC4271955E8E}"/>
                </c:ext>
              </c:extLst>
            </c:dLbl>
            <c:dLbl>
              <c:idx val="17"/>
              <c:tx>
                <c:strRef>
                  <c:f>'Matriz de impactos graficos'!$AD$2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{F1EBA33B-ACAE-4D2D-B60F-E9198BDA868F}</c15:txfldGUID>
                      <c15:f>'Matriz de impactos graficos'!$AD$2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9B0-4600-A12E-DC4271955E8E}"/>
                </c:ext>
              </c:extLst>
            </c:dLbl>
            <c:dLbl>
              <c:idx val="18"/>
              <c:tx>
                <c:strRef>
                  <c:f>'Matriz de impactos graficos'!$AE$2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{8E40F187-CC0F-42E5-B946-BFCC5AD16A17}</c15:txfldGUID>
                      <c15:f>'Matriz de impactos graficos'!$AE$2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9B0-4600-A12E-DC4271955E8E}"/>
                </c:ext>
              </c:extLst>
            </c:dLbl>
            <c:dLbl>
              <c:idx val="19"/>
              <c:tx>
                <c:strRef>
                  <c:f>'Matriz de impactos graficos'!$AF$2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{1F7C5050-0A58-4BDF-8830-6C0881D189E9}</c15:txfldGUID>
                      <c15:f>'Matriz de impactos graficos'!$AF$2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9B0-4600-A12E-DC4271955E8E}"/>
                </c:ext>
              </c:extLst>
            </c:dLbl>
            <c:dLbl>
              <c:idx val="20"/>
              <c:tx>
                <c:strRef>
                  <c:f>'Matriz de impactos graficos'!$AG$2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{B1914071-0DB2-40DB-BFA0-79159977F770}</c15:txfldGUID>
                      <c15:f>'Matriz de impactos graficos'!$AG$2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9B0-4600-A12E-DC4271955E8E}"/>
                </c:ext>
              </c:extLst>
            </c:dLbl>
            <c:dLbl>
              <c:idx val="21"/>
              <c:tx>
                <c:strRef>
                  <c:f>'Matriz de impactos graficos'!$AH$2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{0263E656-AB4B-43F5-B962-C0E31B0B41D1}</c15:txfldGUID>
                      <c15:f>'Matriz de impactos graficos'!$AH$2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9B0-4600-A12E-DC4271955E8E}"/>
                </c:ext>
              </c:extLst>
            </c:dLbl>
            <c:dLbl>
              <c:idx val="22"/>
              <c:tx>
                <c:strRef>
                  <c:f>'Matriz de impactos graficos'!$AI$2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{4EB40FC8-17FF-4397-9A5A-A6EE4CD8DF56}</c15:txfldGUID>
                      <c15:f>'Matriz de impactos graficos'!$AI$2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9B0-4600-A12E-DC4271955E8E}"/>
                </c:ext>
              </c:extLst>
            </c:dLbl>
            <c:dLbl>
              <c:idx val="23"/>
              <c:tx>
                <c:strRef>
                  <c:f>'Matriz de impactos graficos'!$AJ$2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{8CECC523-1A95-4A1C-816A-A04AF306869C}</c15:txfldGUID>
                      <c15:f>'Matriz de impactos graficos'!$AJ$2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9B0-4600-A12E-DC4271955E8E}"/>
                </c:ext>
              </c:extLst>
            </c:dLbl>
            <c:dLbl>
              <c:idx val="24"/>
              <c:tx>
                <c:strRef>
                  <c:f>'Matriz de impactos graficos'!$AK$2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{337D7648-DA9A-427E-8E1D-FE3F639EB549}</c15:txfldGUID>
                      <c15:f>'Matriz de impactos graficos'!$AK$2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9B0-4600-A12E-DC4271955E8E}"/>
                </c:ext>
              </c:extLst>
            </c:dLbl>
            <c:dLbl>
              <c:idx val="25"/>
              <c:tx>
                <c:strRef>
                  <c:f>'Matriz de impactos graficos'!$AL$2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{DE9C3090-BDA7-443F-A428-83BDECE627A6}</c15:txfldGUID>
                      <c15:f>'Matriz de impactos graficos'!$AL$2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9B0-4600-A12E-DC4271955E8E}"/>
                </c:ext>
              </c:extLst>
            </c:dLbl>
            <c:dLbl>
              <c:idx val="26"/>
              <c:tx>
                <c:strRef>
                  <c:f>'Matriz de impactos graficos'!$AM$2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{550988FD-73BF-4C64-A2D8-0E45C48EFE71}</c15:txfldGUID>
                      <c15:f>'Matriz de impactos graficos'!$AM$2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9B0-4600-A12E-DC4271955E8E}"/>
                </c:ext>
              </c:extLst>
            </c:dLbl>
            <c:dLbl>
              <c:idx val="27"/>
              <c:tx>
                <c:strRef>
                  <c:f>'Matriz de impactos graficos'!$AN$2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{5E2A892E-4E92-4F88-8CCA-4623D72450AE}</c15:txfldGUID>
                      <c15:f>'Matriz de impactos graficos'!$AN$2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9B0-4600-A12E-DC4271955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de impactos graficos'!$M$3:$AN$3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'Matriz de impactos graficos'!$M$4:$AN$4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0-45B8-ADDF-072C6C3DD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086424"/>
        <c:axId val="453092984"/>
      </c:scatterChart>
      <c:valAx>
        <c:axId val="45308642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Impacto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3092984"/>
        <c:crosses val="autoZero"/>
        <c:crossBetween val="midCat"/>
      </c:valAx>
      <c:valAx>
        <c:axId val="45309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Nro Aspectos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3086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Promedio ADKAR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3F6-4BE3-B983-7096B629B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1"/>
        <c:overlap val="-22"/>
        <c:axId val="588019600"/>
        <c:axId val="587965808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3F6-4BE3-B983-7096B629B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1"/>
        <c:overlap val="-22"/>
        <c:axId val="485746424"/>
        <c:axId val="485741832"/>
      </c:barChart>
      <c:catAx>
        <c:axId val="5880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7965808"/>
        <c:crosses val="autoZero"/>
        <c:auto val="1"/>
        <c:lblAlgn val="ctr"/>
        <c:lblOffset val="100"/>
        <c:noMultiLvlLbl val="0"/>
      </c:catAx>
      <c:valAx>
        <c:axId val="58796580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8019600"/>
        <c:crosses val="autoZero"/>
        <c:crossBetween val="between"/>
        <c:majorUnit val="1"/>
        <c:minorUnit val="0.5"/>
      </c:valAx>
      <c:valAx>
        <c:axId val="4857418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5746424"/>
        <c:crosses val="max"/>
        <c:crossBetween val="between"/>
      </c:valAx>
      <c:catAx>
        <c:axId val="485746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5741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Distribución ADKAR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66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30-4450-9520-E5886CBAC35E}"/>
            </c:ext>
          </c:extLst>
        </c:ser>
        <c:ser>
          <c:idx val="1"/>
          <c:order val="1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30-4450-9520-E5886CBAC35E}"/>
            </c:ext>
          </c:extLst>
        </c:ser>
        <c:ser>
          <c:idx val="2"/>
          <c:order val="2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30-4450-9520-E5886CBAC35E}"/>
            </c:ext>
          </c:extLst>
        </c:ser>
        <c:ser>
          <c:idx val="3"/>
          <c:order val="3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30-4450-9520-E5886CBAC35E}"/>
            </c:ext>
          </c:extLst>
        </c:ser>
        <c:ser>
          <c:idx val="4"/>
          <c:order val="4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30-4450-9520-E5886CBAC3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587971384"/>
        <c:axId val="587975976"/>
      </c:barChart>
      <c:catAx>
        <c:axId val="58797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7975976"/>
        <c:crosses val="autoZero"/>
        <c:auto val="1"/>
        <c:lblAlgn val="ctr"/>
        <c:lblOffset val="100"/>
        <c:noMultiLvlLbl val="0"/>
      </c:catAx>
      <c:valAx>
        <c:axId val="5879759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7971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2C0-4E59-B83E-410459F5E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689616"/>
        <c:axId val="624690928"/>
      </c:barChart>
      <c:catAx>
        <c:axId val="62468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4690928"/>
        <c:crosses val="autoZero"/>
        <c:auto val="1"/>
        <c:lblAlgn val="ctr"/>
        <c:lblOffset val="100"/>
        <c:noMultiLvlLbl val="0"/>
      </c:catAx>
      <c:valAx>
        <c:axId val="6246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468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40345417640355E-2"/>
          <c:y val="0.11562170501198801"/>
          <c:w val="0.81865470700253662"/>
          <c:h val="0.72278778973648217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76200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2D76-49AF-ABC3-DD40530032B0}"/>
              </c:ext>
            </c:extLst>
          </c:dPt>
          <c:dLbls>
            <c:dLbl>
              <c:idx val="0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{875C2D8B-5003-4422-AFA5-5114579B7F5E}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2D76-49AF-ABC3-DD40530032B0}"/>
                </c:ext>
              </c:extLst>
            </c:dLbl>
            <c:dLbl>
              <c:idx val="1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{D1CD932D-7608-45FC-B170-73B36A7DE288}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2D76-49AF-ABC3-DD40530032B0}"/>
                </c:ext>
              </c:extLst>
            </c:dLbl>
            <c:dLbl>
              <c:idx val="2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{8FA14B35-F349-4F66-B890-D972B058727D}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2D76-49AF-ABC3-DD40530032B0}"/>
                </c:ext>
              </c:extLst>
            </c:dLbl>
            <c:dLbl>
              <c:idx val="3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{C93818C5-FD56-4AA8-BF26-77016DBAD462}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2D76-49AF-ABC3-DD40530032B0}"/>
                </c:ext>
              </c:extLst>
            </c:dLbl>
            <c:dLbl>
              <c:idx val="4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{37830E8E-FF9F-4466-9450-D09D350CCFA1}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2D76-49AF-ABC3-DD40530032B0}"/>
                </c:ext>
              </c:extLst>
            </c:dLbl>
            <c:dLbl>
              <c:idx val="5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{9CA59CE8-08AD-4D60-9D2C-62835778B3B4}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2D76-49AF-ABC3-DD40530032B0}"/>
                </c:ext>
              </c:extLst>
            </c:dLbl>
            <c:dLbl>
              <c:idx val="6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{50EE8402-B0FF-44D3-8B32-CD5DE00A700B}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2D76-49AF-ABC3-DD40530032B0}"/>
                </c:ext>
              </c:extLst>
            </c:dLbl>
            <c:dLbl>
              <c:idx val="7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{C4487741-8628-4C64-B6FF-01A36EBA2095}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2D76-49AF-ABC3-DD40530032B0}"/>
                </c:ext>
              </c:extLst>
            </c:dLbl>
            <c:dLbl>
              <c:idx val="8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{E53FF95B-2F7C-49E4-BC48-10647206DAAD}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2D76-49AF-ABC3-DD40530032B0}"/>
                </c:ext>
              </c:extLst>
            </c:dLbl>
            <c:dLbl>
              <c:idx val="9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{526F27D5-F3A7-415C-BBA1-4A525E5BAE6B}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2D76-49AF-ABC3-DD40530032B0}"/>
                </c:ext>
              </c:extLst>
            </c:dLbl>
            <c:dLbl>
              <c:idx val="10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{8E3704B4-96BB-45D0-BE6D-4355BB4CEABF}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2D76-49AF-ABC3-DD40530032B0}"/>
                </c:ext>
              </c:extLst>
            </c:dLbl>
            <c:dLbl>
              <c:idx val="11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{110F0292-C665-4B26-A254-1B21FDB0C9F5}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2D76-49AF-ABC3-DD40530032B0}"/>
                </c:ext>
              </c:extLst>
            </c:dLbl>
            <c:dLbl>
              <c:idx val="12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{B0ACBA33-0837-417B-AA48-3CAB179CDF9B}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2D76-49AF-ABC3-DD40530032B0}"/>
                </c:ext>
              </c:extLst>
            </c:dLbl>
            <c:dLbl>
              <c:idx val="13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{74527DDF-DC1B-421B-901D-F1C5A462D473}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2D76-49AF-ABC3-DD40530032B0}"/>
                </c:ext>
              </c:extLst>
            </c:dLbl>
            <c:dLbl>
              <c:idx val="14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{78B3546E-021D-42CD-8438-8F2999ABD2E9}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2D76-49AF-ABC3-DD40530032B0}"/>
                </c:ext>
              </c:extLst>
            </c:dLbl>
            <c:dLbl>
              <c:idx val="15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{2029FDEE-43DB-4E31-9CC8-8DBB3D029BA7}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2D76-49AF-ABC3-DD40530032B0}"/>
                </c:ext>
              </c:extLst>
            </c:dLbl>
            <c:dLbl>
              <c:idx val="16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{17F9085C-671C-4512-BD22-BCCF0CBF1D95}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2D76-49AF-ABC3-DD40530032B0}"/>
                </c:ext>
              </c:extLst>
            </c:dLbl>
            <c:dLbl>
              <c:idx val="17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{4D817D2D-0954-4789-A218-A5F9584489F5}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2D76-49AF-ABC3-DD40530032B0}"/>
                </c:ext>
              </c:extLst>
            </c:dLbl>
            <c:dLbl>
              <c:idx val="18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{F6C7FC8F-DCB7-4649-AB4E-8733A6469F20}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2D76-49AF-ABC3-DD40530032B0}"/>
                </c:ext>
              </c:extLst>
            </c:dLbl>
            <c:dLbl>
              <c:idx val="19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{FFB37E78-0295-43ED-827A-357F3C884CB3}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2D76-49AF-ABC3-DD40530032B0}"/>
                </c:ext>
              </c:extLst>
            </c:dLbl>
            <c:dLbl>
              <c:idx val="20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{4BF9226A-28C8-4867-831D-6029741E4C62}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2D76-49AF-ABC3-DD40530032B0}"/>
                </c:ext>
              </c:extLst>
            </c:dLbl>
            <c:dLbl>
              <c:idx val="21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{E812EDE9-BC83-4EAE-A8B1-B6398163A10D}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2D76-49AF-ABC3-DD40530032B0}"/>
                </c:ext>
              </c:extLst>
            </c:dLbl>
            <c:dLbl>
              <c:idx val="22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{BA1A3FF1-6A85-4C46-9768-C3656EF3EE5F}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2D76-49AF-ABC3-DD40530032B0}"/>
                </c:ext>
              </c:extLst>
            </c:dLbl>
            <c:dLbl>
              <c:idx val="23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{373977A9-842D-48A3-BED6-593EAFFA53BB}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2D76-49AF-ABC3-DD40530032B0}"/>
                </c:ext>
              </c:extLst>
            </c:dLbl>
            <c:dLbl>
              <c:idx val="24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{935F3C2B-AFEA-4E8E-A43E-8136FE6C9D47}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2D76-49AF-ABC3-DD40530032B0}"/>
                </c:ext>
              </c:extLst>
            </c:dLbl>
            <c:dLbl>
              <c:idx val="25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{17FED59C-07A6-4F44-A7D5-B4BABCA6DCDE}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2D76-49AF-ABC3-DD40530032B0}"/>
                </c:ext>
              </c:extLst>
            </c:dLbl>
            <c:dLbl>
              <c:idx val="26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{E0C44B6C-29E2-4A71-A539-10C1A9C67574}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2D76-49AF-ABC3-DD40530032B0}"/>
                </c:ext>
              </c:extLst>
            </c:dLbl>
            <c:dLbl>
              <c:idx val="27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{AA5C0E98-35F1-4DA6-9493-FE4255464B88}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2D76-49AF-ABC3-DD40530032B0}"/>
                </c:ext>
              </c:extLst>
            </c:dLbl>
            <c:dLbl>
              <c:idx val="28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{4DC26663-1AC4-44CC-89E0-1B8F4FE64D07}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2D76-49AF-ABC3-DD40530032B0}"/>
                </c:ext>
              </c:extLst>
            </c:dLbl>
            <c:dLbl>
              <c:idx val="29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{A60E31B0-D1DC-4793-AA3A-E097ECD501D5}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2D76-49AF-ABC3-DD40530032B0}"/>
                </c:ext>
              </c:extLst>
            </c:dLbl>
            <c:dLbl>
              <c:idx val="30"/>
              <c:tx>
                <c:strRef>
                  <c:f>#REF!</c:f>
                  <c:strCache>
                    <c:ptCount val="1"/>
                    <c:pt idx="0">
                      <c:v>#¡REF!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{CA96FA60-F7C7-49E6-8A32-05C00E48AB52}</c15:txfldGUID>
                      <c15:f>#REF!</c15:f>
                      <c15:dlblFieldTableCache>
                        <c:ptCount val="1"/>
                        <c:pt idx="0">
                          <c:v>#¡REF!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2D76-49AF-ABC3-DD4053003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D76-49AF-ABC3-DD405300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060568"/>
        <c:axId val="5810602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#¡REF!</c:v>
                            </c:pt>
                          </c:strCache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2-2D76-49AF-ABC3-DD40530032B0}"/>
                  </c:ext>
                </c:extLst>
              </c15:ser>
            </c15:filteredScatterSeries>
          </c:ext>
        </c:extLst>
      </c:scatterChart>
      <c:valAx>
        <c:axId val="58106056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i="1"/>
                  <a:t>IMPACTO</a:t>
                </a:r>
              </a:p>
            </c:rich>
          </c:tx>
          <c:layout>
            <c:manualLayout>
              <c:xMode val="edge"/>
              <c:yMode val="edge"/>
              <c:x val="0.41671915150384542"/>
              <c:y val="0.92246706846331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1060240"/>
        <c:crosses val="autoZero"/>
        <c:crossBetween val="midCat"/>
        <c:majorUnit val="2.5"/>
        <c:minorUnit val="1"/>
      </c:valAx>
      <c:valAx>
        <c:axId val="581060240"/>
        <c:scaling>
          <c:orientation val="minMax"/>
          <c:max val="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INVOLUCRAMIENTO</a:t>
                </a:r>
              </a:p>
            </c:rich>
          </c:tx>
          <c:layout>
            <c:manualLayout>
              <c:xMode val="edge"/>
              <c:yMode val="edge"/>
              <c:x val="1.183901091326918E-2"/>
              <c:y val="0.341738320540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1060568"/>
        <c:crosses val="max"/>
        <c:crossBetween val="midCat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Tablero!A1"/><Relationship Id="rId1" Type="http://schemas.openxmlformats.org/officeDocument/2006/relationships/hyperlink" Target="#'Consciencia Situacional (2)'!A1"/><Relationship Id="rId5" Type="http://schemas.openxmlformats.org/officeDocument/2006/relationships/image" Target="../media/image2.png"/><Relationship Id="rId4" Type="http://schemas.openxmlformats.org/officeDocument/2006/relationships/hyperlink" Target="#'Ayuda CS Caracteristica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Tabler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Tablero!A1"/><Relationship Id="rId1" Type="http://schemas.openxmlformats.org/officeDocument/2006/relationships/hyperlink" Target="#'Consciencia Situacional'!A1"/><Relationship Id="rId5" Type="http://schemas.openxmlformats.org/officeDocument/2006/relationships/image" Target="../media/image4.png"/><Relationship Id="rId4" Type="http://schemas.openxmlformats.org/officeDocument/2006/relationships/hyperlink" Target="#'Ayuda CS Atributos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Tabler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180975</xdr:rowOff>
    </xdr:from>
    <xdr:to>
      <xdr:col>7</xdr:col>
      <xdr:colOff>28575</xdr:colOff>
      <xdr:row>22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416719</xdr:colOff>
      <xdr:row>34</xdr:row>
      <xdr:rowOff>23812</xdr:rowOff>
    </xdr:from>
    <xdr:to>
      <xdr:col>21</xdr:col>
      <xdr:colOff>250031</xdr:colOff>
      <xdr:row>55</xdr:row>
      <xdr:rowOff>35719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178594</xdr:colOff>
      <xdr:row>36</xdr:row>
      <xdr:rowOff>169068</xdr:rowOff>
    </xdr:from>
    <xdr:to>
      <xdr:col>34</xdr:col>
      <xdr:colOff>47625</xdr:colOff>
      <xdr:row>48</xdr:row>
      <xdr:rowOff>11905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202407</xdr:colOff>
      <xdr:row>49</xdr:row>
      <xdr:rowOff>16668</xdr:rowOff>
    </xdr:from>
    <xdr:to>
      <xdr:col>33</xdr:col>
      <xdr:colOff>440531</xdr:colOff>
      <xdr:row>60</xdr:row>
      <xdr:rowOff>76199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178594</xdr:colOff>
      <xdr:row>61</xdr:row>
      <xdr:rowOff>35718</xdr:rowOff>
    </xdr:from>
    <xdr:to>
      <xdr:col>34</xdr:col>
      <xdr:colOff>93550</xdr:colOff>
      <xdr:row>72</xdr:row>
      <xdr:rowOff>95249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83343</xdr:colOff>
      <xdr:row>13</xdr:row>
      <xdr:rowOff>17318</xdr:rowOff>
    </xdr:from>
    <xdr:to>
      <xdr:col>28</xdr:col>
      <xdr:colOff>404812</xdr:colOff>
      <xdr:row>27</xdr:row>
      <xdr:rowOff>35717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32808</xdr:colOff>
      <xdr:row>6</xdr:row>
      <xdr:rowOff>76200</xdr:rowOff>
    </xdr:from>
    <xdr:to>
      <xdr:col>3</xdr:col>
      <xdr:colOff>328083</xdr:colOff>
      <xdr:row>8</xdr:row>
      <xdr:rowOff>209550</xdr:rowOff>
    </xdr:to>
    <xdr:sp macro="" textlink="">
      <xdr:nvSpPr>
        <xdr:cNvPr id="2" name="Redondear rectángulo de esquina del mismo lad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7975" y="1282700"/>
          <a:ext cx="1819275" cy="599017"/>
        </a:xfrm>
        <a:prstGeom prst="round2Same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50" b="1" u="none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Análisis</a:t>
          </a:r>
          <a:r>
            <a:rPr lang="es-AR" sz="1050" b="1" u="none" baseline="0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 de Riesgo</a:t>
          </a:r>
        </a:p>
        <a:p>
          <a:pPr algn="ctr"/>
          <a:r>
            <a:rPr lang="es-AR" sz="1050" b="1" u="none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Características del Cambio</a:t>
          </a:r>
        </a:p>
      </xdr:txBody>
    </xdr:sp>
    <xdr:clientData/>
  </xdr:twoCellAnchor>
  <xdr:twoCellAnchor>
    <xdr:from>
      <xdr:col>3</xdr:col>
      <xdr:colOff>420158</xdr:colOff>
      <xdr:row>6</xdr:row>
      <xdr:rowOff>76200</xdr:rowOff>
    </xdr:from>
    <xdr:to>
      <xdr:col>5</xdr:col>
      <xdr:colOff>744008</xdr:colOff>
      <xdr:row>8</xdr:row>
      <xdr:rowOff>209550</xdr:rowOff>
    </xdr:to>
    <xdr:sp macro="" textlink="">
      <xdr:nvSpPr>
        <xdr:cNvPr id="3" name="Redondear rectángulo de esquina del mismo 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219325" y="1282700"/>
          <a:ext cx="1847850" cy="599017"/>
        </a:xfrm>
        <a:prstGeom prst="round2Same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50" b="1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Análisis</a:t>
          </a:r>
          <a:r>
            <a:rPr lang="es-AR" sz="1050" b="1" baseline="0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 de Riesgo</a:t>
          </a:r>
        </a:p>
        <a:p>
          <a:pPr algn="ctr"/>
          <a:r>
            <a:rPr lang="es-AR" sz="1050" b="1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Atributos Organizacionales</a:t>
          </a:r>
        </a:p>
      </xdr:txBody>
    </xdr:sp>
    <xdr:clientData/>
  </xdr:twoCellAnchor>
  <xdr:twoCellAnchor editAs="oneCell">
    <xdr:from>
      <xdr:col>1</xdr:col>
      <xdr:colOff>47625</xdr:colOff>
      <xdr:row>0</xdr:row>
      <xdr:rowOff>83345</xdr:rowOff>
    </xdr:from>
    <xdr:to>
      <xdr:col>1</xdr:col>
      <xdr:colOff>702468</xdr:colOff>
      <xdr:row>3</xdr:row>
      <xdr:rowOff>25326</xdr:rowOff>
    </xdr:to>
    <xdr:pic>
      <xdr:nvPicPr>
        <xdr:cNvPr id="4" name="Imagen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9" y="83345"/>
          <a:ext cx="654843" cy="668262"/>
        </a:xfrm>
        <a:prstGeom prst="rect">
          <a:avLst/>
        </a:prstGeom>
      </xdr:spPr>
    </xdr:pic>
    <xdr:clientData/>
  </xdr:twoCellAnchor>
  <xdr:twoCellAnchor editAs="oneCell">
    <xdr:from>
      <xdr:col>11</xdr:col>
      <xdr:colOff>202407</xdr:colOff>
      <xdr:row>0</xdr:row>
      <xdr:rowOff>202406</xdr:rowOff>
    </xdr:from>
    <xdr:to>
      <xdr:col>13</xdr:col>
      <xdr:colOff>76200</xdr:colOff>
      <xdr:row>3</xdr:row>
      <xdr:rowOff>171982</xdr:rowOff>
    </xdr:to>
    <xdr:pic>
      <xdr:nvPicPr>
        <xdr:cNvPr id="6" name="Imagen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1" y="202406"/>
          <a:ext cx="702468" cy="700619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83344</xdr:rowOff>
    </xdr:from>
    <xdr:to>
      <xdr:col>1</xdr:col>
      <xdr:colOff>702468</xdr:colOff>
      <xdr:row>3</xdr:row>
      <xdr:rowOff>25325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3344"/>
          <a:ext cx="654843" cy="665881"/>
        </a:xfrm>
        <a:prstGeom prst="rect">
          <a:avLst/>
        </a:prstGeom>
      </xdr:spPr>
    </xdr:pic>
    <xdr:clientData/>
  </xdr:twoCellAnchor>
  <xdr:twoCellAnchor editAs="oneCell">
    <xdr:from>
      <xdr:col>12</xdr:col>
      <xdr:colOff>668308</xdr:colOff>
      <xdr:row>0</xdr:row>
      <xdr:rowOff>166687</xdr:rowOff>
    </xdr:from>
    <xdr:to>
      <xdr:col>13</xdr:col>
      <xdr:colOff>515109</xdr:colOff>
      <xdr:row>3</xdr:row>
      <xdr:rowOff>178593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0464" y="166687"/>
          <a:ext cx="620708" cy="7381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32808</xdr:colOff>
      <xdr:row>6</xdr:row>
      <xdr:rowOff>76200</xdr:rowOff>
    </xdr:from>
    <xdr:to>
      <xdr:col>3</xdr:col>
      <xdr:colOff>328083</xdr:colOff>
      <xdr:row>8</xdr:row>
      <xdr:rowOff>209550</xdr:rowOff>
    </xdr:to>
    <xdr:sp macro="" textlink="">
      <xdr:nvSpPr>
        <xdr:cNvPr id="2" name="Redondear rectángulo de esquina del mismo l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09033" y="1381125"/>
          <a:ext cx="1819275" cy="647700"/>
        </a:xfrm>
        <a:prstGeom prst="round2Same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AR" sz="1050" b="1">
              <a:solidFill>
                <a:schemeClr val="bg1"/>
              </a:solidFill>
              <a:latin typeface="Candara" panose="020E0502030303020204" pitchFamily="34" charset="0"/>
              <a:ea typeface="+mn-ea"/>
              <a:cs typeface="Arial" panose="020B0604020202020204" pitchFamily="34" charset="0"/>
            </a:rPr>
            <a:t>Análisis de Riesgo</a:t>
          </a:r>
        </a:p>
        <a:p>
          <a:pPr marL="0" indent="0" algn="ctr"/>
          <a:r>
            <a:rPr lang="es-AR" sz="1050" b="1">
              <a:solidFill>
                <a:schemeClr val="bg1"/>
              </a:solidFill>
              <a:latin typeface="Candara" panose="020E0502030303020204" pitchFamily="34" charset="0"/>
              <a:ea typeface="+mn-ea"/>
              <a:cs typeface="Arial" panose="020B0604020202020204" pitchFamily="34" charset="0"/>
            </a:rPr>
            <a:t>Características del Cambio</a:t>
          </a:r>
        </a:p>
      </xdr:txBody>
    </xdr:sp>
    <xdr:clientData/>
  </xdr:twoCellAnchor>
  <xdr:twoCellAnchor>
    <xdr:from>
      <xdr:col>3</xdr:col>
      <xdr:colOff>420158</xdr:colOff>
      <xdr:row>6</xdr:row>
      <xdr:rowOff>76200</xdr:rowOff>
    </xdr:from>
    <xdr:to>
      <xdr:col>5</xdr:col>
      <xdr:colOff>744008</xdr:colOff>
      <xdr:row>8</xdr:row>
      <xdr:rowOff>209550</xdr:rowOff>
    </xdr:to>
    <xdr:sp macro="" textlink="">
      <xdr:nvSpPr>
        <xdr:cNvPr id="3" name="Redondear rectángulo de esquina del mismo lad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220383" y="1381125"/>
          <a:ext cx="1847850" cy="647700"/>
        </a:xfrm>
        <a:prstGeom prst="round2SameRect">
          <a:avLst/>
        </a:prstGeom>
        <a:solidFill>
          <a:srgbClr val="88589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50" b="1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Análisis</a:t>
          </a:r>
          <a:r>
            <a:rPr lang="es-AR" sz="1050" b="1" baseline="0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 de Riesgo</a:t>
          </a:r>
        </a:p>
        <a:p>
          <a:pPr algn="ctr"/>
          <a:r>
            <a:rPr lang="es-AR" sz="1050" b="1">
              <a:solidFill>
                <a:schemeClr val="bg1"/>
              </a:solidFill>
              <a:latin typeface="Candara" panose="020E0502030303020204" pitchFamily="34" charset="0"/>
              <a:cs typeface="Arial" panose="020B0604020202020204" pitchFamily="34" charset="0"/>
            </a:rPr>
            <a:t>Atributos Organizacionales</a:t>
          </a:r>
        </a:p>
      </xdr:txBody>
    </xdr:sp>
    <xdr:clientData/>
  </xdr:twoCellAnchor>
  <xdr:twoCellAnchor editAs="oneCell">
    <xdr:from>
      <xdr:col>1</xdr:col>
      <xdr:colOff>47624</xdr:colOff>
      <xdr:row>0</xdr:row>
      <xdr:rowOff>83347</xdr:rowOff>
    </xdr:from>
    <xdr:to>
      <xdr:col>1</xdr:col>
      <xdr:colOff>702467</xdr:colOff>
      <xdr:row>3</xdr:row>
      <xdr:rowOff>25328</xdr:rowOff>
    </xdr:to>
    <xdr:pic>
      <xdr:nvPicPr>
        <xdr:cNvPr id="4" name="Imagen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8" y="83347"/>
          <a:ext cx="654843" cy="66826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250031</xdr:colOff>
      <xdr:row>0</xdr:row>
      <xdr:rowOff>238125</xdr:rowOff>
    </xdr:from>
    <xdr:to>
      <xdr:col>13</xdr:col>
      <xdr:colOff>130968</xdr:colOff>
      <xdr:row>4</xdr:row>
      <xdr:rowOff>532</xdr:rowOff>
    </xdr:to>
    <xdr:pic>
      <xdr:nvPicPr>
        <xdr:cNvPr id="5" name="Imagen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238125"/>
          <a:ext cx="702468" cy="700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13</xdr:row>
      <xdr:rowOff>250030</xdr:rowOff>
    </xdr:from>
    <xdr:to>
      <xdr:col>13</xdr:col>
      <xdr:colOff>301238</xdr:colOff>
      <xdr:row>16</xdr:row>
      <xdr:rowOff>134836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0094" y="3512343"/>
          <a:ext cx="658425" cy="6706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BB9D0-8D8F-4D1E-9AF3-2568B2E41D61}" name="Table1" displayName="Table1" ref="A4:F28" totalsRowShown="0" headerRowDxfId="8">
  <autoFilter ref="A4:F28" xr:uid="{62ABB9D0-8D8F-4D1E-9AF3-2568B2E41D61}"/>
  <tableColumns count="6">
    <tableColumn id="1" xr3:uid="{AA244633-94BE-438A-AA05-ECC58CE74312}" name="Tipo" dataDxfId="7"/>
    <tableColumn id="2" xr3:uid="{47FF8982-41A9-41A6-9316-CBE6FDA62171}" name="Tipo B" dataDxfId="6"/>
    <tableColumn id="6" xr3:uid="{AEF47E0C-4EB4-4D4D-B3EA-FC0BE6261B53}" name="Column1" dataDxfId="5"/>
    <tableColumn id="3" xr3:uid="{EA97F96A-C7A3-421C-B835-F3D70D7F86C9}" name="Pregunta" dataDxfId="4"/>
    <tableColumn id="4" xr3:uid="{36C8D57C-4858-4D23-8A08-5A1370A0F179}" name="Um" dataDxfId="3"/>
    <tableColumn id="5" xr3:uid="{E9773C07-DB1B-4CAA-8EF3-3B16D00C55A7}" name="Calculo por tipo B?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5BC500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AH34"/>
  <sheetViews>
    <sheetView showGridLines="0" tabSelected="1" topLeftCell="A25" zoomScale="110" zoomScaleNormal="110" workbookViewId="0">
      <selection activeCell="J18" sqref="J18:K20"/>
    </sheetView>
  </sheetViews>
  <sheetFormatPr defaultColWidth="11.42578125" defaultRowHeight="14.25"/>
  <cols>
    <col min="1" max="1" width="6" style="1" customWidth="1"/>
    <col min="2" max="5" width="6.7109375" style="1" customWidth="1"/>
    <col min="6" max="6" width="8.7109375" style="1" bestFit="1" customWidth="1"/>
    <col min="7" max="15" width="6.7109375" style="1" customWidth="1"/>
    <col min="16" max="16" width="3.28515625" style="1" customWidth="1"/>
    <col min="17" max="17" width="4.85546875" style="1" customWidth="1"/>
    <col min="18" max="18" width="1.140625" style="1" customWidth="1"/>
    <col min="19" max="34" width="6.7109375" style="1" customWidth="1"/>
    <col min="35" max="16384" width="11.42578125" style="1"/>
  </cols>
  <sheetData>
    <row r="2" spans="2:34" ht="24.75" customHeight="1">
      <c r="B2" s="30" t="s">
        <v>0</v>
      </c>
      <c r="C2" s="25"/>
      <c r="D2" s="25"/>
      <c r="E2" s="25"/>
      <c r="F2" s="25"/>
      <c r="G2" s="25"/>
      <c r="H2" s="25"/>
      <c r="I2" s="25"/>
    </row>
    <row r="3" spans="2:34" ht="7.5" customHeight="1"/>
    <row r="4" spans="2:34" ht="15.75" customHeight="1">
      <c r="B4" s="62" t="s">
        <v>1</v>
      </c>
      <c r="C4" s="62"/>
      <c r="D4" s="62"/>
      <c r="E4" s="62"/>
      <c r="F4" s="62"/>
      <c r="G4" s="62"/>
      <c r="H4" s="62"/>
    </row>
    <row r="6" spans="2:34" ht="15.75">
      <c r="B6" s="63" t="s">
        <v>2</v>
      </c>
      <c r="C6" s="63"/>
      <c r="D6" s="64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</row>
    <row r="8" spans="2:34" ht="15.75">
      <c r="B8" s="42" t="s">
        <v>3</v>
      </c>
      <c r="C8" s="37"/>
      <c r="D8" s="37"/>
      <c r="E8" s="37"/>
      <c r="F8" s="37"/>
      <c r="G8" s="37"/>
      <c r="H8" s="37"/>
      <c r="I8" s="37"/>
      <c r="J8" s="37"/>
      <c r="K8" s="37" t="s">
        <v>4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2:34" ht="11.25" customHeight="1"/>
    <row r="10" spans="2:34">
      <c r="B10" s="52" t="s">
        <v>5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T10" s="52" t="s">
        <v>6</v>
      </c>
      <c r="U10" s="52"/>
      <c r="V10" s="52"/>
      <c r="W10" s="52"/>
      <c r="X10" s="52"/>
      <c r="Y10" s="52"/>
      <c r="Z10" s="52"/>
    </row>
    <row r="11" spans="2:34">
      <c r="B11" s="53" t="s">
        <v>7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R11" s="11"/>
      <c r="T11" s="53" t="s">
        <v>8</v>
      </c>
      <c r="U11" s="53"/>
      <c r="V11" s="53"/>
      <c r="W11" s="53"/>
      <c r="X11" s="53"/>
      <c r="Y11" s="53"/>
      <c r="Z11" s="53"/>
    </row>
    <row r="12" spans="2:34" ht="16.5" customHeight="1">
      <c r="B12" s="54" t="s">
        <v>9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R12" s="11"/>
      <c r="T12" s="54"/>
      <c r="U12" s="54"/>
      <c r="V12" s="54"/>
      <c r="W12" s="54"/>
      <c r="X12" s="54"/>
      <c r="Y12" s="54"/>
      <c r="Z12" s="54"/>
    </row>
    <row r="13" spans="2:34" ht="18" customHeight="1">
      <c r="I13" s="66" t="s">
        <v>10</v>
      </c>
      <c r="R13" s="11"/>
      <c r="T13" s="18"/>
      <c r="U13" s="18"/>
      <c r="V13" s="18"/>
      <c r="W13" s="18"/>
      <c r="X13" s="18"/>
      <c r="Y13" s="18"/>
      <c r="Z13" s="18"/>
    </row>
    <row r="14" spans="2:34" ht="18" customHeight="1">
      <c r="I14" s="66"/>
      <c r="R14" s="11"/>
      <c r="T14" s="18"/>
      <c r="U14" s="18"/>
      <c r="V14" s="18"/>
      <c r="W14" s="18"/>
      <c r="X14" s="18"/>
      <c r="Y14" s="18"/>
      <c r="Z14" s="18"/>
    </row>
    <row r="15" spans="2:34" ht="18" customHeight="1">
      <c r="I15" s="66"/>
      <c r="J15" s="56" t="s">
        <v>11</v>
      </c>
      <c r="K15" s="57"/>
      <c r="L15" s="67" t="s">
        <v>12</v>
      </c>
      <c r="M15" s="68"/>
      <c r="R15" s="11"/>
      <c r="T15" s="18"/>
      <c r="U15" s="18"/>
      <c r="V15" s="18"/>
      <c r="W15" s="18"/>
      <c r="X15" s="18"/>
      <c r="Y15" s="18"/>
      <c r="Z15" s="18"/>
      <c r="AD15" s="80" t="s">
        <v>13</v>
      </c>
      <c r="AE15" s="81" t="s">
        <v>14</v>
      </c>
      <c r="AF15" s="82"/>
      <c r="AG15" s="81" t="s">
        <v>15</v>
      </c>
      <c r="AH15" s="82"/>
    </row>
    <row r="16" spans="2:34">
      <c r="I16" s="66"/>
      <c r="J16" s="58"/>
      <c r="K16" s="59"/>
      <c r="L16" s="69"/>
      <c r="M16" s="70"/>
      <c r="R16" s="11"/>
      <c r="T16" s="18"/>
      <c r="U16" s="18"/>
      <c r="V16" s="18"/>
      <c r="W16" s="18"/>
      <c r="X16" s="18"/>
      <c r="Y16" s="18"/>
      <c r="Z16" s="18"/>
      <c r="AD16" s="80"/>
      <c r="AE16" s="83"/>
      <c r="AF16" s="84"/>
      <c r="AG16" s="83"/>
      <c r="AH16" s="84"/>
    </row>
    <row r="17" spans="2:34" ht="18" customHeight="1">
      <c r="I17" s="66"/>
      <c r="J17" s="60"/>
      <c r="K17" s="61"/>
      <c r="L17" s="71"/>
      <c r="M17" s="72"/>
      <c r="R17" s="11"/>
      <c r="T17" s="18"/>
      <c r="U17" s="18"/>
      <c r="V17" s="18"/>
      <c r="W17" s="18"/>
      <c r="X17" s="18"/>
      <c r="Y17" s="18"/>
      <c r="Z17" s="18"/>
      <c r="AD17" s="80"/>
      <c r="AE17" s="85"/>
      <c r="AF17" s="86"/>
      <c r="AG17" s="85"/>
      <c r="AH17" s="86"/>
    </row>
    <row r="18" spans="2:34" ht="18" customHeight="1">
      <c r="I18" s="66"/>
      <c r="J18" s="73" t="s">
        <v>16</v>
      </c>
      <c r="K18" s="74"/>
      <c r="L18" s="56" t="s">
        <v>17</v>
      </c>
      <c r="M18" s="57"/>
      <c r="R18" s="11"/>
      <c r="T18" s="18"/>
      <c r="U18" s="18"/>
      <c r="V18" s="18"/>
      <c r="W18" s="18"/>
      <c r="X18" s="18"/>
      <c r="Y18" s="18"/>
      <c r="Z18" s="18"/>
      <c r="AD18" s="80"/>
      <c r="AE18" s="87" t="s">
        <v>18</v>
      </c>
      <c r="AF18" s="82"/>
      <c r="AG18" s="81" t="s">
        <v>19</v>
      </c>
      <c r="AH18" s="82"/>
    </row>
    <row r="19" spans="2:34">
      <c r="I19" s="66"/>
      <c r="J19" s="75"/>
      <c r="K19" s="76"/>
      <c r="L19" s="58"/>
      <c r="M19" s="59"/>
      <c r="R19" s="11"/>
      <c r="T19" s="18"/>
      <c r="U19" s="18"/>
      <c r="V19" s="18"/>
      <c r="W19" s="18"/>
      <c r="X19" s="18"/>
      <c r="Y19" s="18"/>
      <c r="Z19" s="18"/>
      <c r="AD19" s="80"/>
      <c r="AE19" s="83"/>
      <c r="AF19" s="84"/>
      <c r="AG19" s="83"/>
      <c r="AH19" s="84"/>
    </row>
    <row r="20" spans="2:34" ht="18" customHeight="1">
      <c r="I20" s="66"/>
      <c r="J20" s="77"/>
      <c r="K20" s="78"/>
      <c r="L20" s="60"/>
      <c r="M20" s="61"/>
      <c r="R20" s="11"/>
      <c r="T20" s="18"/>
      <c r="U20" s="18"/>
      <c r="V20" s="18"/>
      <c r="W20" s="18"/>
      <c r="X20" s="18"/>
      <c r="Y20" s="18"/>
      <c r="Z20" s="18"/>
      <c r="AD20" s="80"/>
      <c r="AE20" s="85"/>
      <c r="AF20" s="86"/>
      <c r="AG20" s="85"/>
      <c r="AH20" s="86"/>
    </row>
    <row r="21" spans="2:34" ht="18" customHeight="1">
      <c r="J21" s="79" t="s">
        <v>20</v>
      </c>
      <c r="K21" s="79"/>
      <c r="L21" s="79"/>
      <c r="M21" s="79"/>
      <c r="R21" s="11"/>
      <c r="T21" s="18"/>
      <c r="U21" s="18"/>
      <c r="V21" s="18"/>
      <c r="W21" s="18"/>
      <c r="X21" s="18"/>
      <c r="Y21" s="18"/>
      <c r="Z21" s="18"/>
      <c r="AD21" s="20"/>
      <c r="AE21" s="79" t="s">
        <v>21</v>
      </c>
      <c r="AF21" s="79"/>
      <c r="AG21" s="79"/>
      <c r="AH21" s="79"/>
    </row>
    <row r="22" spans="2:34">
      <c r="J22" s="53"/>
      <c r="K22" s="53"/>
      <c r="L22" s="53"/>
      <c r="M22" s="53"/>
      <c r="R22" s="11"/>
      <c r="T22" s="18"/>
      <c r="U22" s="18"/>
      <c r="V22" s="18"/>
      <c r="W22" s="18"/>
      <c r="X22" s="18"/>
      <c r="Y22" s="18"/>
      <c r="Z22" s="18"/>
      <c r="AD22" s="20"/>
      <c r="AE22" s="20"/>
      <c r="AF22" s="20"/>
      <c r="AG22" s="20"/>
      <c r="AH22" s="20"/>
    </row>
    <row r="23" spans="2:34">
      <c r="R23" s="11"/>
      <c r="T23" s="18"/>
      <c r="U23" s="18"/>
      <c r="V23" s="18"/>
      <c r="W23" s="18"/>
      <c r="X23" s="18"/>
      <c r="Y23" s="18"/>
      <c r="Z23" s="18"/>
      <c r="AD23" s="20"/>
      <c r="AE23" s="20"/>
      <c r="AF23" s="20"/>
      <c r="AG23" s="20"/>
      <c r="AH23" s="20"/>
    </row>
    <row r="24" spans="2:34">
      <c r="B24" s="55" t="s">
        <v>20</v>
      </c>
      <c r="C24" s="55"/>
      <c r="D24" s="55"/>
      <c r="E24" s="55"/>
      <c r="F24" s="8">
        <f>'Consciencia Situacional'!M62</f>
        <v>39</v>
      </c>
      <c r="R24" s="11"/>
    </row>
    <row r="25" spans="2:34">
      <c r="B25" s="55" t="s">
        <v>10</v>
      </c>
      <c r="C25" s="55"/>
      <c r="D25" s="55"/>
      <c r="E25" s="55"/>
      <c r="F25" s="8">
        <f>'Consciencia Situacional (2)'!M62</f>
        <v>36</v>
      </c>
      <c r="R25" s="11"/>
    </row>
    <row r="26" spans="2:34">
      <c r="B26" s="55" t="s">
        <v>22</v>
      </c>
      <c r="C26" s="55"/>
      <c r="D26" s="55"/>
      <c r="E26" s="55"/>
      <c r="F26" s="9" t="str">
        <f>IF(AND(F24&gt;=30,F25&gt;=30),"ALTO",IF(AND(F24&gt;30,F25&lt;30),"MEDIO",IF(AND(F24&lt;30,F25&gt;30),"MEDIO",IF(AND(F24&lt;30,F25&lt;30),"BAJO"))))</f>
        <v>ALTO</v>
      </c>
      <c r="R26" s="11"/>
    </row>
    <row r="27" spans="2:34">
      <c r="R27" s="11"/>
    </row>
    <row r="28" spans="2:34">
      <c r="R28" s="11"/>
    </row>
    <row r="29" spans="2:34" ht="12" customHeight="1"/>
    <row r="30" spans="2:34" ht="15">
      <c r="B30" s="36" t="s">
        <v>23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2" spans="2:34">
      <c r="I32" s="52" t="s">
        <v>24</v>
      </c>
      <c r="J32" s="52"/>
      <c r="K32" s="52"/>
      <c r="L32" s="52"/>
      <c r="M32" s="52"/>
      <c r="N32" s="52"/>
      <c r="O32" s="52"/>
      <c r="Q32" s="18"/>
      <c r="R32" s="18"/>
      <c r="AB32" s="52" t="s">
        <v>25</v>
      </c>
      <c r="AC32" s="52"/>
      <c r="AD32" s="52"/>
      <c r="AE32" s="52"/>
      <c r="AF32" s="52"/>
      <c r="AG32" s="52"/>
      <c r="AH32" s="52"/>
    </row>
    <row r="33" spans="9:34">
      <c r="I33" s="53" t="s">
        <v>26</v>
      </c>
      <c r="J33" s="53"/>
      <c r="K33" s="53"/>
      <c r="L33" s="53"/>
      <c r="M33" s="53"/>
      <c r="N33" s="53"/>
      <c r="O33" s="53"/>
      <c r="AB33" s="53" t="s">
        <v>27</v>
      </c>
      <c r="AC33" s="53"/>
      <c r="AD33" s="53"/>
      <c r="AE33" s="53"/>
      <c r="AF33" s="53"/>
      <c r="AG33" s="53"/>
      <c r="AH33" s="53"/>
    </row>
    <row r="34" spans="9:34" ht="15">
      <c r="I34" s="54" t="s">
        <v>9</v>
      </c>
      <c r="J34" s="54"/>
      <c r="K34" s="54"/>
      <c r="L34" s="54"/>
      <c r="M34" s="54"/>
      <c r="N34" s="54"/>
      <c r="O34" s="54"/>
      <c r="Q34" s="19"/>
      <c r="R34" s="19"/>
      <c r="AB34" s="54" t="s">
        <v>9</v>
      </c>
      <c r="AC34" s="54"/>
      <c r="AD34" s="54"/>
      <c r="AE34" s="54"/>
      <c r="AF34" s="54"/>
      <c r="AG34" s="54"/>
      <c r="AH34" s="54"/>
    </row>
  </sheetData>
  <mergeCells count="34">
    <mergeCell ref="AB34:AH34"/>
    <mergeCell ref="AD15:AD20"/>
    <mergeCell ref="AE21:AH21"/>
    <mergeCell ref="AB32:AH32"/>
    <mergeCell ref="AB33:AH33"/>
    <mergeCell ref="AG15:AH17"/>
    <mergeCell ref="AG18:AH20"/>
    <mergeCell ref="AE15:AF17"/>
    <mergeCell ref="AE18:AF20"/>
    <mergeCell ref="J22:M22"/>
    <mergeCell ref="I13:I20"/>
    <mergeCell ref="L15:M17"/>
    <mergeCell ref="J18:K20"/>
    <mergeCell ref="L18:M20"/>
    <mergeCell ref="J21:M21"/>
    <mergeCell ref="T10:Z10"/>
    <mergeCell ref="T11:Z11"/>
    <mergeCell ref="T12:Z12"/>
    <mergeCell ref="J15:K17"/>
    <mergeCell ref="B4:H4"/>
    <mergeCell ref="B10:H10"/>
    <mergeCell ref="B11:H11"/>
    <mergeCell ref="B12:H12"/>
    <mergeCell ref="I10:O10"/>
    <mergeCell ref="I11:O11"/>
    <mergeCell ref="I12:O12"/>
    <mergeCell ref="B6:C6"/>
    <mergeCell ref="D6:AH6"/>
    <mergeCell ref="I32:O32"/>
    <mergeCell ref="I33:O33"/>
    <mergeCell ref="I34:O34"/>
    <mergeCell ref="B24:E24"/>
    <mergeCell ref="B25:E25"/>
    <mergeCell ref="B26:E26"/>
  </mergeCells>
  <conditionalFormatting sqref="F26">
    <cfRule type="cellIs" dxfId="2" priority="10" operator="equal">
      <formula>"BAJO"</formula>
    </cfRule>
    <cfRule type="cellIs" dxfId="1" priority="11" operator="equal">
      <formula>"MEDIO"</formula>
    </cfRule>
    <cfRule type="cellIs" dxfId="0" priority="12" operator="equal">
      <formula>"ALTO"</formula>
    </cfRule>
  </conditionalFormatting>
  <hyperlinks>
    <hyperlink ref="B12:H12" location="'Consciencia Situacional'!A1" display="Detalle completo" xr:uid="{00000000-0004-0000-0000-000000000000}"/>
    <hyperlink ref="I34:O34" location="'Matriz de Impactos'!A1" display="Detalle completo" xr:uid="{00000000-0004-0000-0000-000001000000}"/>
    <hyperlink ref="P34:R34" location="ADKAR!A1" display="Detalle completo" xr:uid="{00000000-0004-0000-0000-000002000000}"/>
    <hyperlink ref="AB34:AH34" location="ADKAR!A1" display="Detalle completo" xr:uid="{00000000-0004-0000-0000-000003000000}"/>
  </hyperlinks>
  <pageMargins left="0.7" right="0.7" top="0.75" bottom="0.75" header="0.3" footer="0.3"/>
  <pageSetup orientation="portrait" r:id="rId1"/>
  <headerFooter>
    <oddFooter>&amp;L_x000D_&amp;1#&amp;"Calibri"&amp;7&amp;K000000 ***Este documento está clasificado como USO INTERNO por MOVISTAR. ***This document is classified as INTERNAL USE by MOVISTAR.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8CF6-8F1D-4FA4-B628-908F49E33650}">
  <dimension ref="A2:F51"/>
  <sheetViews>
    <sheetView workbookViewId="0">
      <selection activeCell="D34" sqref="D34"/>
    </sheetView>
  </sheetViews>
  <sheetFormatPr defaultColWidth="9.140625" defaultRowHeight="15"/>
  <cols>
    <col min="1" max="1" width="30.140625" customWidth="1"/>
    <col min="2" max="3" width="33.85546875" customWidth="1"/>
    <col min="4" max="4" width="85.85546875" customWidth="1"/>
    <col min="5" max="5" width="12.140625" customWidth="1"/>
    <col min="6" max="6" width="24.5703125" customWidth="1"/>
  </cols>
  <sheetData>
    <row r="2" spans="1:6">
      <c r="A2" s="27" t="s">
        <v>28</v>
      </c>
    </row>
    <row r="4" spans="1:6">
      <c r="A4" s="43" t="s">
        <v>29</v>
      </c>
      <c r="B4" s="43" t="s">
        <v>30</v>
      </c>
      <c r="C4" s="43" t="s">
        <v>31</v>
      </c>
      <c r="D4" s="43" t="s">
        <v>32</v>
      </c>
      <c r="E4" s="43" t="s">
        <v>33</v>
      </c>
      <c r="F4" s="43" t="s">
        <v>34</v>
      </c>
    </row>
    <row r="5" spans="1:6">
      <c r="A5" s="44" t="s">
        <v>35</v>
      </c>
      <c r="B5" s="44" t="s">
        <v>36</v>
      </c>
      <c r="C5" s="46">
        <v>1.01</v>
      </c>
      <c r="D5" t="s">
        <v>37</v>
      </c>
      <c r="E5" s="44" t="s">
        <v>38</v>
      </c>
    </row>
    <row r="6" spans="1:6">
      <c r="A6" s="44" t="s">
        <v>35</v>
      </c>
      <c r="B6" s="44" t="s">
        <v>36</v>
      </c>
      <c r="C6" s="46">
        <v>1.02</v>
      </c>
      <c r="D6" t="s">
        <v>39</v>
      </c>
      <c r="E6" s="44" t="s">
        <v>38</v>
      </c>
    </row>
    <row r="7" spans="1:6">
      <c r="A7" s="44" t="s">
        <v>35</v>
      </c>
      <c r="B7" s="44" t="s">
        <v>36</v>
      </c>
      <c r="C7" s="46">
        <v>1.03</v>
      </c>
      <c r="D7" t="s">
        <v>40</v>
      </c>
      <c r="E7" s="44" t="s">
        <v>38</v>
      </c>
    </row>
    <row r="8" spans="1:6">
      <c r="A8" s="44" t="s">
        <v>35</v>
      </c>
      <c r="B8" s="44" t="s">
        <v>36</v>
      </c>
      <c r="C8" s="46">
        <v>1.04</v>
      </c>
      <c r="D8" t="s">
        <v>41</v>
      </c>
      <c r="E8" s="44" t="s">
        <v>38</v>
      </c>
    </row>
    <row r="9" spans="1:6">
      <c r="A9" s="44" t="s">
        <v>35</v>
      </c>
      <c r="B9" s="44" t="s">
        <v>36</v>
      </c>
      <c r="C9" s="46">
        <v>1.05</v>
      </c>
      <c r="D9" t="s">
        <v>42</v>
      </c>
      <c r="E9" s="44" t="s">
        <v>38</v>
      </c>
    </row>
    <row r="10" spans="1:6">
      <c r="A10" s="44" t="s">
        <v>35</v>
      </c>
      <c r="B10" s="44" t="s">
        <v>36</v>
      </c>
      <c r="C10" s="46">
        <v>1.06</v>
      </c>
      <c r="D10" t="s">
        <v>43</v>
      </c>
      <c r="E10" s="44" t="s">
        <v>38</v>
      </c>
    </row>
    <row r="11" spans="1:6">
      <c r="A11" s="44" t="s">
        <v>35</v>
      </c>
      <c r="B11" s="44" t="s">
        <v>36</v>
      </c>
      <c r="C11" s="46">
        <v>1.07</v>
      </c>
      <c r="D11" t="s">
        <v>44</v>
      </c>
      <c r="E11" s="44" t="s">
        <v>38</v>
      </c>
    </row>
    <row r="12" spans="1:6">
      <c r="A12" s="44" t="s">
        <v>35</v>
      </c>
      <c r="B12" s="44" t="s">
        <v>36</v>
      </c>
      <c r="C12" s="46">
        <v>1.08</v>
      </c>
      <c r="D12" t="s">
        <v>45</v>
      </c>
      <c r="E12" s="44" t="s">
        <v>38</v>
      </c>
    </row>
    <row r="13" spans="1:6">
      <c r="A13" s="44" t="s">
        <v>35</v>
      </c>
      <c r="B13" s="44" t="s">
        <v>36</v>
      </c>
      <c r="C13" s="46">
        <v>1.0900000000000001</v>
      </c>
      <c r="D13" t="s">
        <v>46</v>
      </c>
      <c r="E13" s="44" t="s">
        <v>38</v>
      </c>
    </row>
    <row r="14" spans="1:6">
      <c r="A14" s="44" t="s">
        <v>35</v>
      </c>
      <c r="B14" s="44" t="s">
        <v>36</v>
      </c>
      <c r="C14" s="46" t="s">
        <v>47</v>
      </c>
      <c r="D14" t="s">
        <v>48</v>
      </c>
      <c r="E14" s="44" t="s">
        <v>38</v>
      </c>
    </row>
    <row r="15" spans="1:6">
      <c r="A15" s="44" t="s">
        <v>35</v>
      </c>
      <c r="B15" s="44" t="s">
        <v>36</v>
      </c>
      <c r="C15" s="46">
        <v>1.1100000000000001</v>
      </c>
      <c r="D15" t="s">
        <v>49</v>
      </c>
      <c r="E15" s="44" t="s">
        <v>38</v>
      </c>
    </row>
    <row r="16" spans="1:6">
      <c r="A16" s="44" t="s">
        <v>35</v>
      </c>
      <c r="B16" s="44" t="s">
        <v>36</v>
      </c>
      <c r="C16" s="46">
        <v>1.1200000000000001</v>
      </c>
      <c r="D16" t="s">
        <v>50</v>
      </c>
      <c r="E16" s="44" t="s">
        <v>38</v>
      </c>
    </row>
    <row r="17" spans="1:5">
      <c r="A17" s="44" t="s">
        <v>35</v>
      </c>
      <c r="B17" s="44" t="s">
        <v>10</v>
      </c>
      <c r="C17" s="46">
        <v>2.0099999999999998</v>
      </c>
      <c r="D17" t="s">
        <v>51</v>
      </c>
      <c r="E17" s="44"/>
    </row>
    <row r="18" spans="1:5">
      <c r="A18" s="44" t="s">
        <v>35</v>
      </c>
      <c r="B18" s="44" t="s">
        <v>10</v>
      </c>
      <c r="C18" s="46">
        <v>2.02</v>
      </c>
      <c r="D18" t="s">
        <v>52</v>
      </c>
      <c r="E18" s="44"/>
    </row>
    <row r="19" spans="1:5">
      <c r="A19" s="44" t="s">
        <v>35</v>
      </c>
      <c r="B19" s="44" t="s">
        <v>10</v>
      </c>
      <c r="C19" s="46">
        <v>2.0299999999999998</v>
      </c>
      <c r="D19" t="s">
        <v>53</v>
      </c>
      <c r="E19" s="44"/>
    </row>
    <row r="20" spans="1:5">
      <c r="A20" s="44" t="s">
        <v>35</v>
      </c>
      <c r="B20" s="44" t="s">
        <v>10</v>
      </c>
      <c r="C20" s="46">
        <v>2.04</v>
      </c>
      <c r="D20" t="s">
        <v>54</v>
      </c>
      <c r="E20" s="44"/>
    </row>
    <row r="21" spans="1:5">
      <c r="A21" s="44" t="s">
        <v>35</v>
      </c>
      <c r="B21" s="44" t="s">
        <v>10</v>
      </c>
      <c r="C21" s="46">
        <v>2.0499999999999998</v>
      </c>
      <c r="D21" t="s">
        <v>55</v>
      </c>
      <c r="E21" s="44"/>
    </row>
    <row r="22" spans="1:5">
      <c r="A22" s="44" t="s">
        <v>35</v>
      </c>
      <c r="B22" s="44" t="s">
        <v>10</v>
      </c>
      <c r="C22" s="46">
        <v>2.06</v>
      </c>
      <c r="D22" t="s">
        <v>56</v>
      </c>
      <c r="E22" s="44"/>
    </row>
    <row r="23" spans="1:5">
      <c r="A23" s="44" t="s">
        <v>35</v>
      </c>
      <c r="B23" s="44" t="s">
        <v>10</v>
      </c>
      <c r="C23" s="46">
        <v>2.0699999999999998</v>
      </c>
      <c r="D23" t="s">
        <v>57</v>
      </c>
      <c r="E23" s="44"/>
    </row>
    <row r="24" spans="1:5">
      <c r="A24" s="44" t="s">
        <v>35</v>
      </c>
      <c r="B24" s="44" t="s">
        <v>10</v>
      </c>
      <c r="C24" s="46">
        <v>2.08</v>
      </c>
      <c r="D24" t="s">
        <v>58</v>
      </c>
      <c r="E24" s="44"/>
    </row>
    <row r="25" spans="1:5">
      <c r="A25" s="44" t="s">
        <v>35</v>
      </c>
      <c r="B25" s="44" t="s">
        <v>10</v>
      </c>
      <c r="C25" s="46">
        <v>2.09</v>
      </c>
      <c r="D25" t="s">
        <v>59</v>
      </c>
      <c r="E25" s="44"/>
    </row>
    <row r="26" spans="1:5">
      <c r="A26" s="44" t="s">
        <v>35</v>
      </c>
      <c r="B26" s="44" t="s">
        <v>10</v>
      </c>
      <c r="C26" s="46" t="s">
        <v>60</v>
      </c>
      <c r="D26" t="s">
        <v>61</v>
      </c>
      <c r="E26" s="44"/>
    </row>
    <row r="27" spans="1:5">
      <c r="A27" s="44" t="s">
        <v>35</v>
      </c>
      <c r="B27" s="44" t="s">
        <v>10</v>
      </c>
      <c r="C27" s="46">
        <v>2.11</v>
      </c>
      <c r="D27" t="s">
        <v>62</v>
      </c>
      <c r="E27" s="44"/>
    </row>
    <row r="28" spans="1:5">
      <c r="A28" s="44" t="s">
        <v>35</v>
      </c>
      <c r="B28" s="44" t="s">
        <v>10</v>
      </c>
      <c r="C28" s="46">
        <v>2.12</v>
      </c>
      <c r="D28" t="s">
        <v>63</v>
      </c>
      <c r="E28" s="44"/>
    </row>
    <row r="51" spans="5:5">
      <c r="E51" t="s">
        <v>64</v>
      </c>
    </row>
  </sheetData>
  <sortState xmlns:xlrd2="http://schemas.microsoft.com/office/spreadsheetml/2017/richdata2" ref="D16:M60">
    <sortCondition ref="D16:D60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92D050"/>
  </sheetPr>
  <dimension ref="A2:T63"/>
  <sheetViews>
    <sheetView showGridLines="0" topLeftCell="A7" zoomScaleNormal="100" workbookViewId="0">
      <selection activeCell="M63" sqref="M63"/>
    </sheetView>
  </sheetViews>
  <sheetFormatPr defaultColWidth="11.42578125" defaultRowHeight="15"/>
  <cols>
    <col min="1" max="1" width="4.140625" style="1" customWidth="1"/>
    <col min="2" max="10" width="11.42578125" style="1"/>
    <col min="11" max="11" width="18.7109375" style="1" customWidth="1"/>
    <col min="12" max="12" width="4.140625" style="1" customWidth="1"/>
    <col min="13" max="13" width="8.28515625" style="5" customWidth="1"/>
    <col min="14" max="17" width="11.42578125" style="1"/>
    <col min="18" max="18" width="0" style="1" hidden="1" customWidth="1"/>
    <col min="19" max="19" width="11.42578125" style="1"/>
    <col min="20" max="20" width="33.85546875" style="1" customWidth="1"/>
    <col min="21" max="16384" width="11.42578125" style="1"/>
  </cols>
  <sheetData>
    <row r="2" spans="1:20" ht="21">
      <c r="C2" s="30" t="s">
        <v>0</v>
      </c>
      <c r="D2" s="25"/>
      <c r="E2" s="25"/>
      <c r="F2" s="25"/>
      <c r="G2" s="25"/>
    </row>
    <row r="3" spans="1:20" ht="11.25" customHeight="1"/>
    <row r="4" spans="1:20" ht="16.5">
      <c r="B4" s="31" t="s">
        <v>65</v>
      </c>
      <c r="C4" s="32"/>
      <c r="D4" s="32"/>
      <c r="E4" s="32"/>
      <c r="F4" s="32"/>
      <c r="G4" s="32"/>
    </row>
    <row r="5" spans="1:20" ht="5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7"/>
      <c r="N5" s="2"/>
    </row>
    <row r="11" spans="1:20" ht="15.75">
      <c r="T11" s="45" t="s">
        <v>66</v>
      </c>
    </row>
    <row r="12" spans="1:20" ht="16.5">
      <c r="B12" s="50" t="s">
        <v>67</v>
      </c>
      <c r="C12" s="50"/>
      <c r="D12" s="50"/>
      <c r="E12" s="50"/>
      <c r="F12" s="50"/>
      <c r="G12" s="50"/>
      <c r="H12" s="50"/>
      <c r="I12" s="50"/>
      <c r="J12" s="50"/>
      <c r="K12" s="50"/>
      <c r="R12" s="1">
        <v>1</v>
      </c>
      <c r="T12" s="91" t="s">
        <v>68</v>
      </c>
    </row>
    <row r="13" spans="1:20" ht="24" customHeight="1">
      <c r="B13" s="89" t="s">
        <v>69</v>
      </c>
      <c r="C13" s="89"/>
      <c r="D13" s="88" t="s">
        <v>70</v>
      </c>
      <c r="E13" s="88"/>
      <c r="F13" s="88" t="s">
        <v>71</v>
      </c>
      <c r="G13" s="88"/>
      <c r="H13" s="88" t="s">
        <v>72</v>
      </c>
      <c r="I13" s="88"/>
      <c r="J13" s="90" t="s">
        <v>73</v>
      </c>
      <c r="K13" s="90"/>
      <c r="M13" s="21">
        <v>2</v>
      </c>
      <c r="R13" s="1">
        <v>2</v>
      </c>
      <c r="T13" s="91"/>
    </row>
    <row r="14" spans="1:20" ht="5.25" customHeight="1">
      <c r="B14" s="29"/>
      <c r="C14" s="29"/>
      <c r="D14" s="29"/>
      <c r="E14" s="29"/>
      <c r="F14" s="29"/>
      <c r="G14" s="29"/>
      <c r="H14" s="29"/>
      <c r="I14" s="29"/>
      <c r="J14" s="29"/>
      <c r="K14" s="29"/>
      <c r="R14" s="1">
        <v>3</v>
      </c>
      <c r="T14" s="91" t="s">
        <v>74</v>
      </c>
    </row>
    <row r="15" spans="1:20">
      <c r="R15" s="1">
        <v>4</v>
      </c>
      <c r="T15" s="91"/>
    </row>
    <row r="16" spans="1:20" ht="16.5">
      <c r="B16" s="50" t="s">
        <v>75</v>
      </c>
      <c r="C16" s="50"/>
      <c r="D16" s="50"/>
      <c r="E16" s="50"/>
      <c r="F16" s="50"/>
      <c r="G16" s="50"/>
      <c r="H16" s="50"/>
      <c r="I16" s="50"/>
      <c r="J16" s="50"/>
      <c r="K16" s="50"/>
      <c r="R16" s="1">
        <v>5</v>
      </c>
      <c r="T16" s="91" t="s">
        <v>76</v>
      </c>
    </row>
    <row r="17" spans="2:20" ht="24" customHeight="1">
      <c r="B17" s="89" t="s">
        <v>77</v>
      </c>
      <c r="C17" s="89"/>
      <c r="D17" s="88" t="s">
        <v>78</v>
      </c>
      <c r="E17" s="88"/>
      <c r="F17" s="88" t="s">
        <v>79</v>
      </c>
      <c r="G17" s="88"/>
      <c r="H17" s="88" t="s">
        <v>80</v>
      </c>
      <c r="I17" s="88"/>
      <c r="J17" s="90" t="s">
        <v>81</v>
      </c>
      <c r="K17" s="90"/>
      <c r="M17" s="21">
        <v>4</v>
      </c>
      <c r="T17" s="91"/>
    </row>
    <row r="18" spans="2:20" ht="5.25" customHeight="1">
      <c r="B18" s="29"/>
      <c r="C18" s="29"/>
      <c r="D18" s="29"/>
      <c r="E18" s="29"/>
      <c r="F18" s="29"/>
      <c r="G18" s="29"/>
      <c r="H18" s="29"/>
      <c r="I18" s="29"/>
      <c r="J18" s="29"/>
      <c r="K18" s="29"/>
      <c r="T18" s="91" t="s">
        <v>82</v>
      </c>
    </row>
    <row r="19" spans="2:20">
      <c r="T19" s="91"/>
    </row>
    <row r="20" spans="2:20" ht="16.5">
      <c r="B20" s="50" t="s">
        <v>83</v>
      </c>
      <c r="C20" s="50"/>
      <c r="D20" s="50"/>
      <c r="E20" s="50"/>
      <c r="F20" s="50"/>
      <c r="G20" s="50"/>
      <c r="H20" s="50"/>
      <c r="I20" s="50"/>
      <c r="J20" s="50"/>
      <c r="K20" s="50"/>
      <c r="T20" s="91" t="s">
        <v>84</v>
      </c>
    </row>
    <row r="21" spans="2:20" ht="24" customHeight="1">
      <c r="B21" s="88" t="s">
        <v>85</v>
      </c>
      <c r="C21" s="88"/>
      <c r="D21" s="88"/>
      <c r="E21" s="88" t="s">
        <v>86</v>
      </c>
      <c r="F21" s="88"/>
      <c r="G21" s="88"/>
      <c r="H21" s="88"/>
      <c r="I21" s="88" t="s">
        <v>87</v>
      </c>
      <c r="J21" s="88"/>
      <c r="K21" s="88"/>
      <c r="M21" s="21">
        <v>2</v>
      </c>
      <c r="T21" s="91"/>
    </row>
    <row r="22" spans="2:20" ht="5.25" customHeight="1"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2:20" ht="21" customHeight="1"/>
    <row r="24" spans="2:20" ht="60.75" customHeight="1">
      <c r="B24" s="49" t="s">
        <v>88</v>
      </c>
      <c r="C24" s="50"/>
      <c r="D24" s="50"/>
      <c r="E24" s="50"/>
      <c r="F24" s="50"/>
      <c r="G24" s="50"/>
      <c r="H24" s="50"/>
      <c r="I24" s="50"/>
      <c r="J24" s="50"/>
      <c r="K24" s="50"/>
    </row>
    <row r="25" spans="2:20" ht="24" customHeight="1">
      <c r="B25" s="47" t="s">
        <v>89</v>
      </c>
      <c r="C25" s="47"/>
      <c r="D25" s="51" t="s">
        <v>90</v>
      </c>
      <c r="E25" s="51"/>
      <c r="F25" s="51" t="s">
        <v>91</v>
      </c>
      <c r="G25" s="51"/>
      <c r="H25" s="51" t="s">
        <v>92</v>
      </c>
      <c r="I25" s="51"/>
      <c r="J25" s="48" t="s">
        <v>93</v>
      </c>
      <c r="K25" s="48"/>
      <c r="M25" s="21">
        <v>4</v>
      </c>
    </row>
    <row r="26" spans="2:20" ht="5.25" customHeight="1"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8" spans="2:20" ht="16.5">
      <c r="B28" s="50" t="s">
        <v>94</v>
      </c>
      <c r="C28" s="50"/>
      <c r="D28" s="50"/>
      <c r="E28" s="50"/>
      <c r="F28" s="50"/>
      <c r="G28" s="50"/>
      <c r="H28" s="50"/>
      <c r="I28" s="50"/>
      <c r="J28" s="50"/>
      <c r="K28" s="50"/>
    </row>
    <row r="29" spans="2:20" ht="24" customHeight="1">
      <c r="B29" s="47" t="s">
        <v>95</v>
      </c>
      <c r="C29" s="47"/>
      <c r="D29" s="51" t="s">
        <v>96</v>
      </c>
      <c r="E29" s="51"/>
      <c r="F29" s="51" t="s">
        <v>97</v>
      </c>
      <c r="G29" s="51"/>
      <c r="H29" s="51" t="s">
        <v>98</v>
      </c>
      <c r="I29" s="51"/>
      <c r="J29" s="48" t="s">
        <v>99</v>
      </c>
      <c r="K29" s="48"/>
      <c r="M29" s="21">
        <v>3</v>
      </c>
    </row>
    <row r="30" spans="2:20" ht="5.25" customHeight="1"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2" spans="2:20" ht="16.5">
      <c r="B32" s="50" t="s">
        <v>100</v>
      </c>
      <c r="C32" s="50"/>
      <c r="D32" s="50"/>
      <c r="E32" s="50"/>
      <c r="F32" s="50"/>
      <c r="G32" s="50"/>
      <c r="H32" s="50"/>
      <c r="I32" s="50"/>
      <c r="J32" s="50"/>
      <c r="K32" s="50"/>
    </row>
    <row r="33" spans="2:13" ht="24" customHeight="1">
      <c r="B33" s="47" t="s">
        <v>95</v>
      </c>
      <c r="C33" s="47"/>
      <c r="D33" s="51" t="s">
        <v>96</v>
      </c>
      <c r="E33" s="51"/>
      <c r="F33" s="51" t="s">
        <v>97</v>
      </c>
      <c r="G33" s="51"/>
      <c r="H33" s="51" t="s">
        <v>98</v>
      </c>
      <c r="I33" s="51"/>
      <c r="J33" s="48" t="s">
        <v>99</v>
      </c>
      <c r="K33" s="48"/>
      <c r="M33" s="21">
        <v>4</v>
      </c>
    </row>
    <row r="34" spans="2:13" ht="5.25" customHeight="1"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6" spans="2:13" ht="16.5">
      <c r="B36" s="50" t="s">
        <v>101</v>
      </c>
      <c r="C36" s="50"/>
      <c r="D36" s="50"/>
      <c r="E36" s="50"/>
      <c r="F36" s="50"/>
      <c r="G36" s="50"/>
      <c r="H36" s="50"/>
      <c r="I36" s="50"/>
      <c r="J36" s="50"/>
      <c r="K36" s="50"/>
    </row>
    <row r="37" spans="2:13" ht="24" customHeight="1">
      <c r="B37" s="47" t="s">
        <v>95</v>
      </c>
      <c r="C37" s="47"/>
      <c r="D37" s="51" t="s">
        <v>96</v>
      </c>
      <c r="E37" s="51"/>
      <c r="F37" s="51" t="s">
        <v>97</v>
      </c>
      <c r="G37" s="51"/>
      <c r="H37" s="51" t="s">
        <v>98</v>
      </c>
      <c r="I37" s="51"/>
      <c r="J37" s="48" t="s">
        <v>99</v>
      </c>
      <c r="K37" s="48"/>
      <c r="M37" s="21">
        <v>3</v>
      </c>
    </row>
    <row r="38" spans="2:13" ht="5.25" customHeight="1"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40" spans="2:13" ht="16.5">
      <c r="B40" s="50" t="s">
        <v>102</v>
      </c>
      <c r="C40" s="50"/>
      <c r="D40" s="50"/>
      <c r="E40" s="50"/>
      <c r="F40" s="50"/>
      <c r="G40" s="50"/>
      <c r="H40" s="50"/>
      <c r="I40" s="50"/>
      <c r="J40" s="50"/>
      <c r="K40" s="50"/>
    </row>
    <row r="41" spans="2:13" ht="24" customHeight="1">
      <c r="B41" s="47" t="s">
        <v>95</v>
      </c>
      <c r="C41" s="47"/>
      <c r="D41" s="51" t="s">
        <v>96</v>
      </c>
      <c r="E41" s="51"/>
      <c r="F41" s="51" t="s">
        <v>97</v>
      </c>
      <c r="G41" s="51"/>
      <c r="H41" s="51" t="s">
        <v>98</v>
      </c>
      <c r="I41" s="51"/>
      <c r="J41" s="48" t="s">
        <v>99</v>
      </c>
      <c r="K41" s="48"/>
      <c r="M41" s="21">
        <v>2</v>
      </c>
    </row>
    <row r="42" spans="2:13" ht="5.25" customHeight="1"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4" spans="2:13" ht="16.5">
      <c r="B44" s="50" t="s">
        <v>103</v>
      </c>
      <c r="C44" s="50"/>
      <c r="D44" s="50"/>
      <c r="E44" s="50"/>
      <c r="F44" s="50"/>
      <c r="G44" s="50"/>
      <c r="H44" s="50"/>
      <c r="I44" s="50"/>
      <c r="J44" s="50"/>
      <c r="K44" s="50"/>
    </row>
    <row r="45" spans="2:13" ht="24" customHeight="1">
      <c r="B45" s="47" t="s">
        <v>104</v>
      </c>
      <c r="C45" s="47"/>
      <c r="D45" s="51"/>
      <c r="E45" s="51"/>
      <c r="F45" s="51"/>
      <c r="G45" s="51"/>
      <c r="H45" s="51"/>
      <c r="I45" s="51"/>
      <c r="J45" s="48" t="s">
        <v>105</v>
      </c>
      <c r="K45" s="48"/>
      <c r="M45" s="21">
        <v>4</v>
      </c>
    </row>
    <row r="46" spans="2:13" ht="5.25" customHeight="1"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8" spans="2:13" ht="16.5">
      <c r="B48" s="50" t="s">
        <v>106</v>
      </c>
      <c r="C48" s="50"/>
      <c r="D48" s="50"/>
      <c r="E48" s="50"/>
      <c r="F48" s="50"/>
      <c r="G48" s="50"/>
      <c r="H48" s="50"/>
      <c r="I48" s="50"/>
      <c r="J48" s="50"/>
      <c r="K48" s="50"/>
    </row>
    <row r="49" spans="2:13" ht="24" customHeight="1">
      <c r="B49" s="47" t="s">
        <v>107</v>
      </c>
      <c r="C49" s="47"/>
      <c r="D49" s="47"/>
      <c r="E49" s="3"/>
      <c r="F49" s="51"/>
      <c r="G49" s="51"/>
      <c r="H49" s="3"/>
      <c r="I49" s="48" t="s">
        <v>108</v>
      </c>
      <c r="J49" s="48"/>
      <c r="K49" s="48"/>
      <c r="M49" s="21">
        <v>3</v>
      </c>
    </row>
    <row r="50" spans="2:13" ht="5.25" customHeight="1"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2" spans="2:13" ht="16.5">
      <c r="B52" s="50" t="s">
        <v>109</v>
      </c>
      <c r="C52" s="50"/>
      <c r="D52" s="50"/>
      <c r="E52" s="50"/>
      <c r="F52" s="50"/>
      <c r="G52" s="50"/>
      <c r="H52" s="50"/>
      <c r="I52" s="50"/>
      <c r="J52" s="50"/>
      <c r="K52" s="50"/>
    </row>
    <row r="53" spans="2:13" ht="24" customHeight="1">
      <c r="B53" s="47" t="s">
        <v>110</v>
      </c>
      <c r="C53" s="47"/>
      <c r="D53" s="51"/>
      <c r="E53" s="51"/>
      <c r="F53" s="51"/>
      <c r="G53" s="51"/>
      <c r="H53" s="51"/>
      <c r="I53" s="51"/>
      <c r="J53" s="48" t="s">
        <v>111</v>
      </c>
      <c r="K53" s="48"/>
      <c r="M53" s="21">
        <v>2</v>
      </c>
    </row>
    <row r="54" spans="2:13" ht="5.25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6" spans="2:13" ht="16.5">
      <c r="B56" s="50" t="s">
        <v>112</v>
      </c>
      <c r="C56" s="50"/>
      <c r="D56" s="50"/>
      <c r="E56" s="50"/>
      <c r="F56" s="50"/>
      <c r="G56" s="50"/>
      <c r="H56" s="50"/>
      <c r="I56" s="50"/>
      <c r="J56" s="50"/>
      <c r="K56" s="50"/>
    </row>
    <row r="57" spans="2:13" ht="24" customHeight="1">
      <c r="B57" s="47" t="s">
        <v>113</v>
      </c>
      <c r="C57" s="47"/>
      <c r="D57" s="51" t="s">
        <v>114</v>
      </c>
      <c r="E57" s="51"/>
      <c r="F57" s="51" t="s">
        <v>115</v>
      </c>
      <c r="G57" s="51"/>
      <c r="H57" s="51" t="s">
        <v>116</v>
      </c>
      <c r="I57" s="51"/>
      <c r="J57" s="48" t="s">
        <v>117</v>
      </c>
      <c r="K57" s="48"/>
      <c r="M57" s="21">
        <v>4</v>
      </c>
    </row>
    <row r="58" spans="2:13" ht="5.25" customHeight="1"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61" spans="2:13">
      <c r="M61" s="6" t="s">
        <v>118</v>
      </c>
    </row>
    <row r="62" spans="2:13" ht="15.75">
      <c r="B62" s="27" t="s">
        <v>119</v>
      </c>
      <c r="C62" s="27"/>
      <c r="D62" s="27"/>
      <c r="E62" s="27"/>
      <c r="F62" s="27"/>
      <c r="G62" s="27"/>
      <c r="H62" s="27"/>
      <c r="I62" s="27"/>
      <c r="M62" s="28">
        <f>SUM(M13:M60)</f>
        <v>39</v>
      </c>
    </row>
    <row r="63" spans="2:13">
      <c r="B63" s="33"/>
      <c r="C63" s="34"/>
      <c r="D63" s="34"/>
      <c r="E63" s="34"/>
      <c r="F63" s="34"/>
      <c r="G63" s="34"/>
      <c r="H63" s="34"/>
      <c r="I63" s="34"/>
      <c r="J63" s="34"/>
      <c r="K63" s="35"/>
    </row>
  </sheetData>
  <mergeCells count="73">
    <mergeCell ref="T12:T13"/>
    <mergeCell ref="T14:T15"/>
    <mergeCell ref="T16:T17"/>
    <mergeCell ref="T18:T19"/>
    <mergeCell ref="T20:T21"/>
    <mergeCell ref="B12:K12"/>
    <mergeCell ref="B13:C13"/>
    <mergeCell ref="J13:K13"/>
    <mergeCell ref="D13:E13"/>
    <mergeCell ref="F13:G13"/>
    <mergeCell ref="H13:I13"/>
    <mergeCell ref="B20:K20"/>
    <mergeCell ref="B21:D21"/>
    <mergeCell ref="I21:K21"/>
    <mergeCell ref="E21:H21"/>
    <mergeCell ref="B16:K16"/>
    <mergeCell ref="B17:C17"/>
    <mergeCell ref="D17:E17"/>
    <mergeCell ref="F17:G17"/>
    <mergeCell ref="H17:I17"/>
    <mergeCell ref="J17:K17"/>
    <mergeCell ref="B24:K24"/>
    <mergeCell ref="B25:C25"/>
    <mergeCell ref="D25:E25"/>
    <mergeCell ref="F25:G25"/>
    <mergeCell ref="H25:I25"/>
    <mergeCell ref="J25:K25"/>
    <mergeCell ref="B28:K28"/>
    <mergeCell ref="B29:C29"/>
    <mergeCell ref="D29:E29"/>
    <mergeCell ref="F29:G29"/>
    <mergeCell ref="H29:I29"/>
    <mergeCell ref="J29:K29"/>
    <mergeCell ref="B32:K32"/>
    <mergeCell ref="B33:C33"/>
    <mergeCell ref="D33:E33"/>
    <mergeCell ref="F33:G33"/>
    <mergeCell ref="H33:I33"/>
    <mergeCell ref="J33:K33"/>
    <mergeCell ref="B36:K36"/>
    <mergeCell ref="B37:C37"/>
    <mergeCell ref="D37:E37"/>
    <mergeCell ref="F37:G37"/>
    <mergeCell ref="H37:I37"/>
    <mergeCell ref="J37:K37"/>
    <mergeCell ref="B40:K40"/>
    <mergeCell ref="B41:C41"/>
    <mergeCell ref="D41:E41"/>
    <mergeCell ref="F41:G41"/>
    <mergeCell ref="H41:I41"/>
    <mergeCell ref="J41:K41"/>
    <mergeCell ref="B48:K48"/>
    <mergeCell ref="F49:G49"/>
    <mergeCell ref="B49:D49"/>
    <mergeCell ref="I49:K49"/>
    <mergeCell ref="B44:K44"/>
    <mergeCell ref="B45:C45"/>
    <mergeCell ref="D45:E45"/>
    <mergeCell ref="F45:G45"/>
    <mergeCell ref="H45:I45"/>
    <mergeCell ref="J45:K45"/>
    <mergeCell ref="B52:K52"/>
    <mergeCell ref="B53:C53"/>
    <mergeCell ref="D53:E53"/>
    <mergeCell ref="F53:G53"/>
    <mergeCell ref="H53:I53"/>
    <mergeCell ref="J53:K53"/>
    <mergeCell ref="B56:K56"/>
    <mergeCell ref="B57:C57"/>
    <mergeCell ref="D57:E57"/>
    <mergeCell ref="F57:G57"/>
    <mergeCell ref="H57:I57"/>
    <mergeCell ref="J57:K57"/>
  </mergeCells>
  <dataValidations count="1">
    <dataValidation type="list" allowBlank="1" showInputMessage="1" showErrorMessage="1" sqref="M13 M17 M21 M25 M29 M33 M37 M41 M45 M49 M53 M57" xr:uid="{00000000-0002-0000-0100-000000000000}">
      <formula1>$R$12:$R$16</formula1>
    </dataValidation>
  </dataValidations>
  <pageMargins left="0.7" right="0.7" top="0.75" bottom="0.75" header="0.3" footer="0.3"/>
  <pageSetup orientation="portrait" r:id="rId1"/>
  <headerFooter>
    <oddFooter>&amp;L_x000D_&amp;1#&amp;"Calibri"&amp;7&amp;K000000 ***Este documento está clasificado como USO INTERNO por MOVISTAR. ***This document is classified as INTERNAL USE by MOVISTAR.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/>
  <dimension ref="A2:R31"/>
  <sheetViews>
    <sheetView showGridLines="0" zoomScale="80" zoomScaleNormal="80" workbookViewId="0">
      <selection activeCell="Q15" sqref="Q15"/>
    </sheetView>
  </sheetViews>
  <sheetFormatPr defaultColWidth="11.42578125" defaultRowHeight="15"/>
  <cols>
    <col min="1" max="1" width="4.140625" style="1" customWidth="1"/>
    <col min="2" max="11" width="11.42578125" style="1"/>
    <col min="12" max="12" width="26.140625" style="1" customWidth="1"/>
    <col min="13" max="13" width="11.5703125" style="5" customWidth="1"/>
    <col min="14" max="16" width="11.42578125" style="1"/>
    <col min="17" max="17" width="14.28515625" style="1" customWidth="1"/>
    <col min="18" max="18" width="12" style="1" hidden="1" customWidth="1"/>
    <col min="19" max="16384" width="11.42578125" style="1"/>
  </cols>
  <sheetData>
    <row r="2" spans="1:14" ht="20.25">
      <c r="C2" s="4" t="s">
        <v>0</v>
      </c>
    </row>
    <row r="3" spans="1:14" ht="11.25" customHeight="1"/>
    <row r="4" spans="1:14" ht="15.75">
      <c r="C4" s="10" t="s">
        <v>120</v>
      </c>
    </row>
    <row r="5" spans="1:14" ht="5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7"/>
      <c r="N5" s="2"/>
    </row>
    <row r="6" spans="1:14" ht="10.5" customHeight="1"/>
    <row r="7" spans="1:14" ht="20.25" customHeight="1">
      <c r="B7" s="98" t="s">
        <v>121</v>
      </c>
      <c r="C7" s="98"/>
      <c r="D7" s="98"/>
      <c r="E7" s="98"/>
      <c r="F7" s="98"/>
      <c r="G7" s="98"/>
      <c r="H7" s="98"/>
      <c r="I7" s="98"/>
      <c r="J7" s="98"/>
      <c r="K7" s="98"/>
      <c r="L7" s="96"/>
      <c r="M7" s="96"/>
      <c r="N7" s="96"/>
    </row>
    <row r="8" spans="1:14" ht="8.25" customHeight="1">
      <c r="L8" s="96"/>
      <c r="M8" s="96"/>
      <c r="N8" s="96"/>
    </row>
    <row r="9" spans="1:14" ht="4.5" customHeight="1">
      <c r="L9" s="96"/>
      <c r="M9" s="96"/>
      <c r="N9" s="96"/>
    </row>
    <row r="10" spans="1:14" ht="4.5" customHeight="1">
      <c r="L10" s="96"/>
      <c r="M10" s="96"/>
      <c r="N10" s="96"/>
    </row>
    <row r="11" spans="1:14" ht="20.25" customHeight="1">
      <c r="B11" s="95" t="s">
        <v>122</v>
      </c>
      <c r="C11" s="95"/>
      <c r="D11" s="95"/>
      <c r="E11" s="95"/>
      <c r="F11" s="95"/>
      <c r="G11" s="95"/>
      <c r="H11" s="95"/>
      <c r="I11" s="95"/>
      <c r="J11" s="95"/>
      <c r="K11" s="95"/>
      <c r="L11" s="96"/>
      <c r="M11" s="96"/>
      <c r="N11" s="96"/>
    </row>
    <row r="12" spans="1:14" ht="9.75" customHeight="1">
      <c r="B12" s="97"/>
      <c r="C12" s="97"/>
      <c r="D12" s="97"/>
      <c r="E12" s="97"/>
      <c r="F12" s="97"/>
      <c r="G12" s="97"/>
      <c r="H12" s="97"/>
      <c r="I12" s="97"/>
      <c r="J12" s="97"/>
      <c r="K12" s="97"/>
    </row>
    <row r="13" spans="1:14" ht="81.75" customHeight="1">
      <c r="B13" s="92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4"/>
    </row>
    <row r="14" spans="1:14" ht="32.25" customHeight="1">
      <c r="M14" s="1"/>
    </row>
    <row r="15" spans="1:14" ht="20.25" customHeight="1">
      <c r="B15" s="95" t="s">
        <v>123</v>
      </c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96"/>
      <c r="N15" s="96"/>
    </row>
    <row r="16" spans="1:14" ht="9.75" customHeight="1">
      <c r="B16" s="97"/>
      <c r="C16" s="97"/>
      <c r="D16" s="97"/>
      <c r="E16" s="97"/>
      <c r="F16" s="97"/>
      <c r="G16" s="97"/>
      <c r="H16" s="97"/>
      <c r="I16" s="97"/>
      <c r="J16" s="97"/>
      <c r="K16" s="97"/>
    </row>
    <row r="17" spans="2:14" ht="81.75" customHeight="1">
      <c r="B17" s="92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4"/>
    </row>
    <row r="18" spans="2:14" ht="31.5" customHeight="1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5"/>
      <c r="M18" s="15"/>
      <c r="N18" s="15"/>
    </row>
    <row r="19" spans="2:14" ht="20.25" customHeight="1">
      <c r="B19" s="95" t="s">
        <v>124</v>
      </c>
      <c r="C19" s="95"/>
      <c r="D19" s="95"/>
      <c r="E19" s="95"/>
      <c r="F19" s="95"/>
      <c r="G19" s="95"/>
      <c r="H19" s="95"/>
      <c r="I19" s="95"/>
      <c r="J19" s="95"/>
      <c r="K19" s="95"/>
      <c r="L19" s="96"/>
      <c r="M19" s="96"/>
      <c r="N19" s="96"/>
    </row>
    <row r="20" spans="2:14" ht="9.75" customHeight="1">
      <c r="B20" s="97"/>
      <c r="C20" s="97"/>
      <c r="D20" s="97"/>
      <c r="E20" s="97"/>
      <c r="F20" s="97"/>
      <c r="G20" s="97"/>
      <c r="H20" s="97"/>
      <c r="I20" s="97"/>
      <c r="J20" s="97"/>
      <c r="K20" s="97"/>
    </row>
    <row r="21" spans="2:14" ht="81.75" customHeight="1">
      <c r="B21" s="92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4"/>
    </row>
    <row r="22" spans="2:14" ht="30.75" customHeight="1"/>
    <row r="23" spans="2:14" ht="20.25" customHeight="1">
      <c r="B23" s="95" t="s">
        <v>125</v>
      </c>
      <c r="C23" s="95"/>
      <c r="D23" s="95"/>
      <c r="E23" s="95"/>
      <c r="F23" s="95"/>
      <c r="G23" s="95"/>
      <c r="H23" s="95"/>
      <c r="I23" s="95"/>
      <c r="J23" s="95"/>
      <c r="K23" s="95"/>
      <c r="L23" s="96"/>
      <c r="M23" s="96"/>
      <c r="N23" s="96"/>
    </row>
    <row r="24" spans="2:14" ht="9.75" customHeight="1">
      <c r="B24" s="97"/>
      <c r="C24" s="97"/>
      <c r="D24" s="97"/>
      <c r="E24" s="97"/>
      <c r="F24" s="97"/>
      <c r="G24" s="97"/>
      <c r="H24" s="97"/>
      <c r="I24" s="97"/>
      <c r="J24" s="97"/>
      <c r="K24" s="97"/>
    </row>
    <row r="25" spans="2:14" ht="81.75" customHeight="1"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4"/>
    </row>
    <row r="27" spans="2:1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"/>
      <c r="N27" s="2"/>
    </row>
    <row r="29" spans="2:14">
      <c r="B29" s="1" t="s">
        <v>126</v>
      </c>
    </row>
    <row r="31" spans="2:14">
      <c r="B31" s="13" t="s">
        <v>127</v>
      </c>
    </row>
  </sheetData>
  <mergeCells count="18">
    <mergeCell ref="B7:K7"/>
    <mergeCell ref="L7:N10"/>
    <mergeCell ref="B11:K11"/>
    <mergeCell ref="L11:N11"/>
    <mergeCell ref="B12:K12"/>
    <mergeCell ref="B24:K24"/>
    <mergeCell ref="B19:K19"/>
    <mergeCell ref="L19:N19"/>
    <mergeCell ref="B20:K20"/>
    <mergeCell ref="B25:N25"/>
    <mergeCell ref="B13:N13"/>
    <mergeCell ref="B17:N17"/>
    <mergeCell ref="B21:N21"/>
    <mergeCell ref="B23:K23"/>
    <mergeCell ref="L23:N23"/>
    <mergeCell ref="B16:K16"/>
    <mergeCell ref="B15:K15"/>
    <mergeCell ref="L15:N15"/>
  </mergeCells>
  <pageMargins left="0.7" right="0.7" top="0.75" bottom="0.75" header="0.3" footer="0.3"/>
  <pageSetup orientation="portrait" r:id="rId1"/>
  <headerFooter>
    <oddFooter>&amp;L_x000D_&amp;1#&amp;"Calibri"&amp;7&amp;K000000 ***Este documento está clasificado como USO INTERNO por MOVISTAR. ***This document is classified as INTERNAL USE by MOVISTAR.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2:R63"/>
  <sheetViews>
    <sheetView showGridLines="0" topLeftCell="A45" zoomScaleNormal="100" workbookViewId="0">
      <selection activeCell="M63" sqref="M63"/>
    </sheetView>
  </sheetViews>
  <sheetFormatPr defaultColWidth="11.42578125" defaultRowHeight="15"/>
  <cols>
    <col min="1" max="1" width="4.140625" style="1" customWidth="1"/>
    <col min="2" max="5" width="11.42578125" style="1"/>
    <col min="6" max="6" width="14.85546875" style="1" customWidth="1"/>
    <col min="7" max="11" width="11.42578125" style="1"/>
    <col min="12" max="12" width="4.140625" style="1" customWidth="1"/>
    <col min="13" max="13" width="8.28515625" style="5" customWidth="1"/>
    <col min="14" max="17" width="11.42578125" style="1"/>
    <col min="18" max="18" width="0" style="1" hidden="1" customWidth="1"/>
    <col min="19" max="16384" width="11.42578125" style="1"/>
  </cols>
  <sheetData>
    <row r="2" spans="1:18" ht="21">
      <c r="C2" s="26" t="s">
        <v>0</v>
      </c>
      <c r="D2" s="27"/>
      <c r="E2" s="27"/>
      <c r="F2" s="27"/>
      <c r="G2" s="27"/>
    </row>
    <row r="3" spans="1:18" ht="11.25" customHeight="1"/>
    <row r="4" spans="1:18" ht="15.75">
      <c r="B4" s="22" t="s">
        <v>128</v>
      </c>
      <c r="C4" s="23"/>
      <c r="D4" s="23"/>
      <c r="E4" s="23"/>
      <c r="F4" s="23"/>
    </row>
    <row r="5" spans="1:18" ht="5.25" customHeight="1">
      <c r="A5" s="2"/>
      <c r="B5" s="24"/>
      <c r="C5" s="24"/>
      <c r="D5" s="24"/>
      <c r="E5" s="24"/>
      <c r="F5" s="24"/>
      <c r="G5" s="2"/>
      <c r="H5" s="2"/>
      <c r="I5" s="2"/>
      <c r="J5" s="2"/>
      <c r="K5" s="2"/>
      <c r="L5" s="2"/>
      <c r="M5" s="7"/>
      <c r="N5" s="2"/>
    </row>
    <row r="12" spans="1:18" ht="31.5" customHeight="1">
      <c r="B12" s="49" t="s">
        <v>129</v>
      </c>
      <c r="C12" s="50"/>
      <c r="D12" s="50"/>
      <c r="E12" s="50"/>
      <c r="F12" s="50"/>
      <c r="G12" s="50"/>
      <c r="H12" s="50"/>
      <c r="I12" s="50"/>
      <c r="J12" s="50"/>
      <c r="K12" s="50"/>
      <c r="R12" s="1">
        <v>1</v>
      </c>
    </row>
    <row r="13" spans="1:18" ht="25.5" customHeight="1">
      <c r="B13" s="47" t="s">
        <v>130</v>
      </c>
      <c r="C13" s="47"/>
      <c r="D13" s="47"/>
      <c r="E13" s="47"/>
      <c r="F13" s="47"/>
      <c r="G13" s="3"/>
      <c r="H13" s="48" t="s">
        <v>131</v>
      </c>
      <c r="I13" s="48"/>
      <c r="J13" s="48"/>
      <c r="K13" s="48"/>
      <c r="M13" s="40">
        <v>2</v>
      </c>
      <c r="R13" s="1">
        <v>2</v>
      </c>
    </row>
    <row r="14" spans="1:18" ht="5.25" customHeight="1">
      <c r="B14" s="29"/>
      <c r="C14" s="29"/>
      <c r="D14" s="29"/>
      <c r="E14" s="29"/>
      <c r="F14" s="29"/>
      <c r="G14" s="29"/>
      <c r="H14" s="29"/>
      <c r="I14" s="29"/>
      <c r="J14" s="29"/>
      <c r="K14" s="29"/>
      <c r="R14" s="1">
        <v>3</v>
      </c>
    </row>
    <row r="15" spans="1:18">
      <c r="R15" s="1">
        <v>4</v>
      </c>
    </row>
    <row r="16" spans="1:18" ht="16.5">
      <c r="B16" s="49" t="s">
        <v>132</v>
      </c>
      <c r="C16" s="50"/>
      <c r="D16" s="50"/>
      <c r="E16" s="50"/>
      <c r="F16" s="50"/>
      <c r="G16" s="50"/>
      <c r="H16" s="50"/>
      <c r="I16" s="50"/>
      <c r="J16" s="50"/>
      <c r="K16" s="50"/>
      <c r="R16" s="1">
        <v>5</v>
      </c>
    </row>
    <row r="17" spans="2:13" ht="24" customHeight="1">
      <c r="B17" s="47" t="s">
        <v>133</v>
      </c>
      <c r="C17" s="47"/>
      <c r="D17" s="47" t="s">
        <v>134</v>
      </c>
      <c r="E17" s="47"/>
      <c r="F17" s="47" t="s">
        <v>135</v>
      </c>
      <c r="G17" s="16"/>
      <c r="H17" s="48" t="s">
        <v>136</v>
      </c>
      <c r="I17" s="48"/>
      <c r="J17" s="48" t="s">
        <v>137</v>
      </c>
      <c r="K17" s="48"/>
      <c r="M17" s="40">
        <v>3</v>
      </c>
    </row>
    <row r="18" spans="2:13" ht="5.25" customHeight="1"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20" spans="2:13" ht="16.5">
      <c r="B20" s="49" t="s">
        <v>138</v>
      </c>
      <c r="C20" s="50"/>
      <c r="D20" s="50"/>
      <c r="E20" s="50"/>
      <c r="F20" s="50"/>
      <c r="G20" s="50"/>
      <c r="H20" s="50"/>
      <c r="I20" s="50"/>
      <c r="J20" s="50"/>
      <c r="K20" s="50"/>
    </row>
    <row r="21" spans="2:13" ht="24.75" customHeight="1">
      <c r="B21" s="47" t="s">
        <v>139</v>
      </c>
      <c r="C21" s="47"/>
      <c r="D21" s="47" t="s">
        <v>134</v>
      </c>
      <c r="E21" s="47"/>
      <c r="F21" s="47" t="s">
        <v>135</v>
      </c>
      <c r="G21" s="16"/>
      <c r="H21" s="48" t="s">
        <v>140</v>
      </c>
      <c r="I21" s="48"/>
      <c r="J21" s="48" t="s">
        <v>137</v>
      </c>
      <c r="K21" s="48"/>
      <c r="M21" s="40">
        <v>2</v>
      </c>
    </row>
    <row r="22" spans="2:13" ht="5.25" customHeight="1"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2:13" ht="20.25" customHeight="1"/>
    <row r="24" spans="2:13" ht="33.75" customHeight="1">
      <c r="B24" s="49" t="s">
        <v>141</v>
      </c>
      <c r="C24" s="50"/>
      <c r="D24" s="50"/>
      <c r="E24" s="50"/>
      <c r="F24" s="50"/>
      <c r="G24" s="50"/>
      <c r="H24" s="50"/>
      <c r="I24" s="50"/>
      <c r="J24" s="50"/>
      <c r="K24" s="50"/>
    </row>
    <row r="25" spans="2:13" ht="24" customHeight="1">
      <c r="B25" s="47" t="s">
        <v>142</v>
      </c>
      <c r="C25" s="47"/>
      <c r="D25" s="47"/>
      <c r="E25" s="47"/>
      <c r="F25" s="47"/>
      <c r="G25" s="48" t="s">
        <v>143</v>
      </c>
      <c r="H25" s="48"/>
      <c r="I25" s="48"/>
      <c r="J25" s="48"/>
      <c r="K25" s="48"/>
      <c r="M25" s="40">
        <v>3</v>
      </c>
    </row>
    <row r="26" spans="2:13" ht="5.25" customHeight="1"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8" spans="2:13" ht="15.75" customHeight="1">
      <c r="B28" s="49" t="s">
        <v>144</v>
      </c>
      <c r="C28" s="50"/>
      <c r="D28" s="50"/>
      <c r="E28" s="50"/>
      <c r="F28" s="50"/>
      <c r="G28" s="50"/>
      <c r="H28" s="50"/>
      <c r="I28" s="50"/>
      <c r="J28" s="50"/>
      <c r="K28" s="50"/>
    </row>
    <row r="29" spans="2:13" ht="24" customHeight="1">
      <c r="B29" s="47" t="s">
        <v>145</v>
      </c>
      <c r="C29" s="47"/>
      <c r="D29" s="51"/>
      <c r="E29" s="51"/>
      <c r="F29" s="51"/>
      <c r="G29" s="51"/>
      <c r="H29" s="48" t="s">
        <v>146</v>
      </c>
      <c r="I29" s="48"/>
      <c r="J29" s="48"/>
      <c r="K29" s="48"/>
      <c r="M29" s="39">
        <v>5</v>
      </c>
    </row>
    <row r="30" spans="2:13" ht="5.25" customHeight="1"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2" spans="2:13" ht="16.5">
      <c r="B32" s="49" t="s">
        <v>147</v>
      </c>
      <c r="C32" s="50"/>
      <c r="D32" s="50"/>
      <c r="E32" s="50"/>
      <c r="F32" s="50"/>
      <c r="G32" s="50"/>
      <c r="H32" s="50"/>
      <c r="I32" s="50"/>
      <c r="J32" s="50"/>
      <c r="K32" s="50"/>
    </row>
    <row r="33" spans="2:13" ht="24" customHeight="1">
      <c r="B33" s="47" t="s">
        <v>148</v>
      </c>
      <c r="C33" s="47"/>
      <c r="D33" s="51"/>
      <c r="E33" s="51"/>
      <c r="F33" s="51" t="s">
        <v>149</v>
      </c>
      <c r="G33" s="51"/>
      <c r="H33" s="51"/>
      <c r="I33" s="51"/>
      <c r="J33" s="48" t="s">
        <v>150</v>
      </c>
      <c r="K33" s="48"/>
      <c r="M33" s="39">
        <v>2</v>
      </c>
    </row>
    <row r="34" spans="2:13" ht="5.25" customHeight="1"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6" spans="2:13" ht="16.5">
      <c r="B36" s="49" t="s">
        <v>151</v>
      </c>
      <c r="C36" s="50"/>
      <c r="D36" s="50"/>
      <c r="E36" s="50"/>
      <c r="F36" s="50"/>
      <c r="G36" s="50"/>
      <c r="H36" s="50"/>
      <c r="I36" s="50"/>
      <c r="J36" s="50"/>
      <c r="K36" s="50"/>
    </row>
    <row r="37" spans="2:13" ht="24" customHeight="1">
      <c r="B37" s="47" t="s">
        <v>152</v>
      </c>
      <c r="C37" s="47"/>
      <c r="D37" s="47"/>
      <c r="E37" s="47"/>
      <c r="F37" s="47"/>
      <c r="G37" s="48" t="s">
        <v>153</v>
      </c>
      <c r="H37" s="48"/>
      <c r="I37" s="48"/>
      <c r="J37" s="48"/>
      <c r="K37" s="48"/>
      <c r="M37" s="39">
        <v>2</v>
      </c>
    </row>
    <row r="38" spans="2:13" ht="5.25" customHeight="1"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40" spans="2:13" ht="16.5">
      <c r="B40" s="49" t="s">
        <v>154</v>
      </c>
      <c r="C40" s="50"/>
      <c r="D40" s="50"/>
      <c r="E40" s="50"/>
      <c r="F40" s="50"/>
      <c r="G40" s="50"/>
      <c r="H40" s="50"/>
      <c r="I40" s="50"/>
      <c r="J40" s="50"/>
      <c r="K40" s="50"/>
    </row>
    <row r="41" spans="2:13" ht="24" customHeight="1">
      <c r="B41" s="47" t="s">
        <v>155</v>
      </c>
      <c r="C41" s="47"/>
      <c r="D41" s="47"/>
      <c r="E41" s="47"/>
      <c r="F41" s="47"/>
      <c r="G41" s="48" t="s">
        <v>156</v>
      </c>
      <c r="H41" s="48"/>
      <c r="I41" s="48"/>
      <c r="J41" s="48"/>
      <c r="K41" s="48"/>
      <c r="M41" s="39">
        <v>2</v>
      </c>
    </row>
    <row r="42" spans="2:13" ht="5.25" customHeight="1"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4" spans="2:13" ht="16.5">
      <c r="B44" s="49" t="s">
        <v>157</v>
      </c>
      <c r="C44" s="50"/>
      <c r="D44" s="50"/>
      <c r="E44" s="50"/>
      <c r="F44" s="50"/>
      <c r="G44" s="50"/>
      <c r="H44" s="50"/>
      <c r="I44" s="50"/>
      <c r="J44" s="50"/>
      <c r="K44" s="50"/>
    </row>
    <row r="45" spans="2:13" ht="24" customHeight="1">
      <c r="B45" s="47" t="s">
        <v>158</v>
      </c>
      <c r="C45" s="47"/>
      <c r="D45" s="51"/>
      <c r="E45" s="51"/>
      <c r="F45" s="51"/>
      <c r="G45" s="51"/>
      <c r="H45" s="51"/>
      <c r="I45" s="51"/>
      <c r="J45" s="48" t="s">
        <v>159</v>
      </c>
      <c r="K45" s="48"/>
      <c r="M45" s="39">
        <v>3</v>
      </c>
    </row>
    <row r="46" spans="2:13" ht="5.25" customHeight="1"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8" spans="2:13" ht="16.5">
      <c r="B48" s="49" t="s">
        <v>160</v>
      </c>
      <c r="C48" s="50"/>
      <c r="D48" s="50"/>
      <c r="E48" s="50"/>
      <c r="F48" s="50"/>
      <c r="G48" s="50"/>
      <c r="H48" s="50"/>
      <c r="I48" s="50"/>
      <c r="J48" s="50"/>
      <c r="K48" s="50"/>
    </row>
    <row r="49" spans="2:13" ht="24" customHeight="1">
      <c r="B49" s="51" t="s">
        <v>161</v>
      </c>
      <c r="C49" s="51"/>
      <c r="D49" s="51"/>
      <c r="E49" s="51"/>
      <c r="F49" s="51"/>
      <c r="G49" s="51"/>
      <c r="H49" s="48" t="s">
        <v>162</v>
      </c>
      <c r="I49" s="48"/>
      <c r="J49" s="48"/>
      <c r="K49" s="48"/>
      <c r="M49" s="39">
        <v>4</v>
      </c>
    </row>
    <row r="50" spans="2:13" ht="5.25" customHeight="1"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2" spans="2:13" ht="16.5">
      <c r="B52" s="49" t="s">
        <v>163</v>
      </c>
      <c r="C52" s="50"/>
      <c r="D52" s="50"/>
      <c r="E52" s="50"/>
      <c r="F52" s="50"/>
      <c r="G52" s="50"/>
      <c r="H52" s="50"/>
      <c r="I52" s="50"/>
      <c r="J52" s="50"/>
      <c r="K52" s="50"/>
    </row>
    <row r="53" spans="2:13" ht="24" customHeight="1">
      <c r="B53" s="51" t="s">
        <v>161</v>
      </c>
      <c r="C53" s="51"/>
      <c r="D53" s="51"/>
      <c r="E53" s="51"/>
      <c r="F53" s="51"/>
      <c r="G53" s="51"/>
      <c r="H53" s="48" t="s">
        <v>162</v>
      </c>
      <c r="I53" s="48"/>
      <c r="J53" s="48"/>
      <c r="K53" s="48"/>
      <c r="M53" s="39">
        <v>2</v>
      </c>
    </row>
    <row r="54" spans="2:13" ht="5.25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6" spans="2:13" ht="16.5">
      <c r="B56" s="49" t="s">
        <v>164</v>
      </c>
      <c r="C56" s="50"/>
      <c r="D56" s="50"/>
      <c r="E56" s="50"/>
      <c r="F56" s="50"/>
      <c r="G56" s="50"/>
      <c r="H56" s="50"/>
      <c r="I56" s="50"/>
      <c r="J56" s="50"/>
      <c r="K56" s="50"/>
    </row>
    <row r="57" spans="2:13" ht="24" customHeight="1">
      <c r="B57" s="47" t="s">
        <v>165</v>
      </c>
      <c r="C57" s="47"/>
      <c r="D57" s="47"/>
      <c r="E57" s="47"/>
      <c r="F57" s="47"/>
      <c r="G57" s="48" t="s">
        <v>166</v>
      </c>
      <c r="H57" s="48"/>
      <c r="I57" s="48"/>
      <c r="J57" s="48"/>
      <c r="K57" s="48"/>
      <c r="M57" s="39">
        <v>5</v>
      </c>
    </row>
    <row r="58" spans="2:13" ht="5.25" customHeight="1"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61" spans="2:13" ht="15.75">
      <c r="B61" s="27"/>
      <c r="C61" s="27"/>
      <c r="D61" s="27"/>
      <c r="E61" s="27"/>
      <c r="F61" s="27"/>
      <c r="G61" s="27"/>
      <c r="H61" s="27"/>
      <c r="M61" s="6" t="s">
        <v>118</v>
      </c>
    </row>
    <row r="62" spans="2:13" ht="16.5">
      <c r="B62" s="41" t="s">
        <v>119</v>
      </c>
      <c r="C62" s="41"/>
      <c r="D62" s="41"/>
      <c r="E62" s="41"/>
      <c r="F62" s="41"/>
      <c r="G62" s="41"/>
      <c r="H62" s="41"/>
      <c r="M62" s="38">
        <f>SUM(M13:M57)</f>
        <v>36</v>
      </c>
    </row>
    <row r="63" spans="2:13" ht="11.25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</row>
  </sheetData>
  <mergeCells count="46">
    <mergeCell ref="B16:K16"/>
    <mergeCell ref="B17:F17"/>
    <mergeCell ref="B12:K12"/>
    <mergeCell ref="B13:F13"/>
    <mergeCell ref="H13:K13"/>
    <mergeCell ref="H17:K17"/>
    <mergeCell ref="F33:G33"/>
    <mergeCell ref="H33:I33"/>
    <mergeCell ref="J33:K33"/>
    <mergeCell ref="B28:K28"/>
    <mergeCell ref="B29:C29"/>
    <mergeCell ref="D29:E29"/>
    <mergeCell ref="F29:G29"/>
    <mergeCell ref="H29:K29"/>
    <mergeCell ref="B20:K20"/>
    <mergeCell ref="B24:K24"/>
    <mergeCell ref="B48:K48"/>
    <mergeCell ref="F49:G49"/>
    <mergeCell ref="B52:K52"/>
    <mergeCell ref="B44:K44"/>
    <mergeCell ref="B45:C45"/>
    <mergeCell ref="D45:E45"/>
    <mergeCell ref="F45:G45"/>
    <mergeCell ref="H45:I45"/>
    <mergeCell ref="J45:K45"/>
    <mergeCell ref="B49:E49"/>
    <mergeCell ref="H49:K49"/>
    <mergeCell ref="B40:K40"/>
    <mergeCell ref="B41:F41"/>
    <mergeCell ref="G41:K41"/>
    <mergeCell ref="B57:F57"/>
    <mergeCell ref="G57:K57"/>
    <mergeCell ref="B56:K56"/>
    <mergeCell ref="B21:F21"/>
    <mergeCell ref="H21:K21"/>
    <mergeCell ref="B25:F25"/>
    <mergeCell ref="G25:K25"/>
    <mergeCell ref="F53:G53"/>
    <mergeCell ref="B53:E53"/>
    <mergeCell ref="H53:K53"/>
    <mergeCell ref="B36:K36"/>
    <mergeCell ref="B37:F37"/>
    <mergeCell ref="G37:K37"/>
    <mergeCell ref="B32:K32"/>
    <mergeCell ref="B33:C33"/>
    <mergeCell ref="D33:E33"/>
  </mergeCells>
  <dataValidations count="1">
    <dataValidation type="list" allowBlank="1" showInputMessage="1" showErrorMessage="1" sqref="M13 M17 M21 M25 M29 M33 M37 M41 M45 M49 M53 M57" xr:uid="{00000000-0002-0000-0200-000000000000}">
      <formula1>$R$12:$R$16</formula1>
    </dataValidation>
  </dataValidations>
  <pageMargins left="0.7" right="0.7" top="0.75" bottom="0.75" header="0.3" footer="0.3"/>
  <pageSetup orientation="portrait" r:id="rId1"/>
  <headerFooter>
    <oddFooter>&amp;L_x000D_&amp;1#&amp;"Calibri"&amp;7&amp;K000000 ***Este documento está clasificado como USO INTERNO por MOVISTAR. ***This document is classified as INTERNAL USE by MOVISTAR.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1"/>
  <dimension ref="A1:BR70"/>
  <sheetViews>
    <sheetView zoomScale="80" zoomScaleNormal="80" workbookViewId="0">
      <pane xSplit="10" topLeftCell="P1" activePane="topRight" state="frozen"/>
      <selection pane="topRight" activeCell="H16" sqref="H16"/>
    </sheetView>
  </sheetViews>
  <sheetFormatPr defaultColWidth="11.42578125" defaultRowHeight="15"/>
  <cols>
    <col min="1" max="1" width="8" style="14" customWidth="1"/>
    <col min="2" max="5" width="11.42578125" customWidth="1"/>
    <col min="6" max="6" width="3.7109375" customWidth="1"/>
    <col min="7" max="7" width="4.42578125" customWidth="1"/>
    <col min="13" max="13" width="11.85546875" bestFit="1" customWidth="1"/>
  </cols>
  <sheetData>
    <row r="1" spans="1:70"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>
        <v>10</v>
      </c>
      <c r="U1">
        <v>11</v>
      </c>
      <c r="V1">
        <v>12</v>
      </c>
      <c r="W1">
        <v>13</v>
      </c>
      <c r="X1">
        <v>14</v>
      </c>
      <c r="Y1">
        <v>15</v>
      </c>
      <c r="Z1">
        <v>16</v>
      </c>
      <c r="AA1">
        <v>17</v>
      </c>
      <c r="AB1">
        <v>18</v>
      </c>
      <c r="AC1">
        <v>19</v>
      </c>
      <c r="AD1">
        <v>20</v>
      </c>
      <c r="AE1">
        <v>21</v>
      </c>
      <c r="AF1">
        <v>22</v>
      </c>
      <c r="AG1">
        <v>23</v>
      </c>
      <c r="AH1">
        <v>24</v>
      </c>
      <c r="AI1">
        <v>25</v>
      </c>
      <c r="AJ1">
        <v>26</v>
      </c>
      <c r="AK1">
        <v>27</v>
      </c>
      <c r="AL1">
        <v>28</v>
      </c>
      <c r="AM1">
        <v>29</v>
      </c>
      <c r="AN1">
        <v>30</v>
      </c>
      <c r="AO1">
        <v>31</v>
      </c>
      <c r="AP1">
        <v>32</v>
      </c>
      <c r="AQ1">
        <v>33</v>
      </c>
      <c r="AR1">
        <v>34</v>
      </c>
      <c r="AS1">
        <v>35</v>
      </c>
      <c r="AT1">
        <v>36</v>
      </c>
      <c r="AU1">
        <v>37</v>
      </c>
      <c r="AV1">
        <v>38</v>
      </c>
      <c r="AW1">
        <v>39</v>
      </c>
      <c r="AX1">
        <v>40</v>
      </c>
      <c r="AY1">
        <v>41</v>
      </c>
      <c r="AZ1">
        <v>42</v>
      </c>
      <c r="BA1">
        <v>43</v>
      </c>
      <c r="BB1">
        <v>44</v>
      </c>
      <c r="BC1">
        <v>45</v>
      </c>
      <c r="BD1">
        <v>46</v>
      </c>
      <c r="BE1">
        <v>47</v>
      </c>
      <c r="BF1">
        <v>48</v>
      </c>
      <c r="BG1">
        <v>49</v>
      </c>
      <c r="BH1">
        <v>50</v>
      </c>
      <c r="BI1">
        <v>51</v>
      </c>
      <c r="BJ1">
        <v>52</v>
      </c>
      <c r="BK1">
        <v>53</v>
      </c>
      <c r="BL1">
        <v>54</v>
      </c>
      <c r="BM1">
        <v>55</v>
      </c>
      <c r="BN1">
        <v>56</v>
      </c>
      <c r="BO1">
        <v>57</v>
      </c>
      <c r="BP1">
        <v>58</v>
      </c>
      <c r="BQ1">
        <v>59</v>
      </c>
      <c r="BR1">
        <v>60</v>
      </c>
    </row>
    <row r="2" spans="1:70">
      <c r="H2" t="s">
        <v>167</v>
      </c>
      <c r="I2" t="s">
        <v>168</v>
      </c>
      <c r="J2" t="s">
        <v>169</v>
      </c>
      <c r="M2" t="e">
        <f>H3</f>
        <v>#REF!</v>
      </c>
      <c r="N2" t="e">
        <f>H4</f>
        <v>#REF!</v>
      </c>
      <c r="O2" t="e">
        <f>H5</f>
        <v>#REF!</v>
      </c>
      <c r="P2" t="e">
        <f>H6</f>
        <v>#REF!</v>
      </c>
      <c r="Q2" t="e">
        <f>H7</f>
        <v>#REF!</v>
      </c>
      <c r="R2" t="e">
        <f>H8</f>
        <v>#REF!</v>
      </c>
      <c r="S2" t="e">
        <f>H9</f>
        <v>#REF!</v>
      </c>
      <c r="T2" t="e">
        <f>H10</f>
        <v>#REF!</v>
      </c>
      <c r="U2" t="e">
        <f>$H11</f>
        <v>#REF!</v>
      </c>
      <c r="V2" t="e">
        <f>H12</f>
        <v>#REF!</v>
      </c>
      <c r="W2" t="e">
        <f>H13</f>
        <v>#REF!</v>
      </c>
      <c r="X2" t="e">
        <f>H16</f>
        <v>#REF!</v>
      </c>
      <c r="Y2" t="e">
        <f>H17</f>
        <v>#REF!</v>
      </c>
      <c r="Z2" t="e">
        <f>H18</f>
        <v>#REF!</v>
      </c>
      <c r="AA2" t="e">
        <f>H19</f>
        <v>#REF!</v>
      </c>
      <c r="AB2" t="e">
        <f>H20</f>
        <v>#REF!</v>
      </c>
      <c r="AC2" t="e">
        <f>H21</f>
        <v>#REF!</v>
      </c>
      <c r="AD2" t="e">
        <f>H22</f>
        <v>#REF!</v>
      </c>
      <c r="AE2" t="e">
        <f>H23</f>
        <v>#REF!</v>
      </c>
      <c r="AF2" t="e">
        <f>H24</f>
        <v>#REF!</v>
      </c>
      <c r="AG2" t="e">
        <f>H25</f>
        <v>#REF!</v>
      </c>
      <c r="AH2" t="e">
        <f>H26</f>
        <v>#REF!</v>
      </c>
      <c r="AI2" t="e">
        <f>H27</f>
        <v>#REF!</v>
      </c>
      <c r="AJ2" t="e">
        <f>H28</f>
        <v>#REF!</v>
      </c>
      <c r="AK2" t="e">
        <f>H29</f>
        <v>#REF!</v>
      </c>
      <c r="AL2" t="e">
        <f>H30</f>
        <v>#REF!</v>
      </c>
      <c r="AM2" t="e">
        <f>H31</f>
        <v>#REF!</v>
      </c>
      <c r="AN2" t="e">
        <f>H32</f>
        <v>#REF!</v>
      </c>
      <c r="AO2" t="s">
        <v>170</v>
      </c>
      <c r="AP2" t="s">
        <v>171</v>
      </c>
      <c r="AQ2" t="s">
        <v>172</v>
      </c>
      <c r="AR2" t="s">
        <v>173</v>
      </c>
      <c r="AS2" t="s">
        <v>174</v>
      </c>
      <c r="AT2" t="s">
        <v>175</v>
      </c>
      <c r="AU2" t="s">
        <v>176</v>
      </c>
      <c r="AV2" t="s">
        <v>177</v>
      </c>
      <c r="AW2" t="s">
        <v>178</v>
      </c>
      <c r="AX2" t="s">
        <v>179</v>
      </c>
      <c r="AY2" t="s">
        <v>180</v>
      </c>
      <c r="AZ2" t="s">
        <v>181</v>
      </c>
      <c r="BA2" t="s">
        <v>182</v>
      </c>
      <c r="BB2" t="s">
        <v>183</v>
      </c>
      <c r="BC2" t="s">
        <v>184</v>
      </c>
      <c r="BD2" t="s">
        <v>185</v>
      </c>
      <c r="BE2" t="s">
        <v>186</v>
      </c>
      <c r="BF2" t="s">
        <v>187</v>
      </c>
      <c r="BG2" t="s">
        <v>188</v>
      </c>
      <c r="BH2" t="s">
        <v>189</v>
      </c>
      <c r="BI2" t="s">
        <v>190</v>
      </c>
      <c r="BJ2" t="s">
        <v>191</v>
      </c>
      <c r="BK2" t="s">
        <v>192</v>
      </c>
      <c r="BL2" t="s">
        <v>193</v>
      </c>
      <c r="BM2" t="s">
        <v>194</v>
      </c>
      <c r="BN2" t="s">
        <v>195</v>
      </c>
      <c r="BO2" t="s">
        <v>196</v>
      </c>
      <c r="BP2" t="s">
        <v>197</v>
      </c>
      <c r="BQ2" t="s">
        <v>198</v>
      </c>
      <c r="BR2" t="s">
        <v>199</v>
      </c>
    </row>
    <row r="3" spans="1:70">
      <c r="A3" s="14">
        <v>1</v>
      </c>
      <c r="B3" s="12" t="e">
        <f>#REF!</f>
        <v>#REF!</v>
      </c>
      <c r="C3" t="e">
        <f>B3/5</f>
        <v>#REF!</v>
      </c>
      <c r="D3" t="e">
        <f>1-C3</f>
        <v>#REF!</v>
      </c>
      <c r="H3" t="e">
        <f>#REF!</f>
        <v>#REF!</v>
      </c>
      <c r="I3" t="e">
        <f>#REF!</f>
        <v>#REF!</v>
      </c>
      <c r="J3" t="e">
        <f>#REF!</f>
        <v>#REF!</v>
      </c>
      <c r="L3" t="s">
        <v>168</v>
      </c>
      <c r="M3" t="e">
        <f>I3</f>
        <v>#REF!</v>
      </c>
      <c r="N3" t="e">
        <f>I$4</f>
        <v>#REF!</v>
      </c>
      <c r="O3" t="e">
        <f>$I5</f>
        <v>#REF!</v>
      </c>
      <c r="P3" t="e">
        <f>I6</f>
        <v>#REF!</v>
      </c>
      <c r="Q3" t="e">
        <f>I7</f>
        <v>#REF!</v>
      </c>
      <c r="R3" t="e">
        <f>I8</f>
        <v>#REF!</v>
      </c>
      <c r="S3" t="e">
        <f>I9</f>
        <v>#REF!</v>
      </c>
      <c r="T3" t="e">
        <f>I10</f>
        <v>#REF!</v>
      </c>
      <c r="U3" t="e">
        <f>I11</f>
        <v>#REF!</v>
      </c>
      <c r="V3" t="e">
        <f>I12</f>
        <v>#REF!</v>
      </c>
      <c r="W3" t="e">
        <f>I13</f>
        <v>#REF!</v>
      </c>
      <c r="X3" t="e">
        <f>I14</f>
        <v>#REF!</v>
      </c>
      <c r="Y3" t="e">
        <f>I15</f>
        <v>#REF!</v>
      </c>
      <c r="Z3" t="e">
        <f>I16</f>
        <v>#REF!</v>
      </c>
      <c r="AA3" t="e">
        <f>I17</f>
        <v>#REF!</v>
      </c>
      <c r="AB3" t="e">
        <f>I18</f>
        <v>#REF!</v>
      </c>
      <c r="AC3" t="e">
        <f>I19</f>
        <v>#REF!</v>
      </c>
      <c r="AD3" t="e">
        <f>I20</f>
        <v>#REF!</v>
      </c>
      <c r="AE3" t="e">
        <f>I21</f>
        <v>#REF!</v>
      </c>
      <c r="AF3" t="e">
        <f>I22</f>
        <v>#REF!</v>
      </c>
      <c r="AG3" t="e">
        <f>I23</f>
        <v>#REF!</v>
      </c>
      <c r="AH3" t="e">
        <f>I24</f>
        <v>#REF!</v>
      </c>
      <c r="AI3" t="e">
        <f>I25</f>
        <v>#REF!</v>
      </c>
      <c r="AJ3" t="e">
        <f>I26</f>
        <v>#REF!</v>
      </c>
      <c r="AK3" t="e">
        <f>I27</f>
        <v>#REF!</v>
      </c>
      <c r="AL3" t="e">
        <f>I28</f>
        <v>#REF!</v>
      </c>
      <c r="AM3" t="e">
        <f>I29</f>
        <v>#REF!</v>
      </c>
      <c r="AN3" t="e">
        <f>I30</f>
        <v>#REF!</v>
      </c>
      <c r="AO3" t="e">
        <f>I31</f>
        <v>#REF!</v>
      </c>
      <c r="AP3" t="e">
        <f>I32</f>
        <v>#REF!</v>
      </c>
      <c r="AQ3" t="e">
        <f>I33</f>
        <v>#REF!</v>
      </c>
      <c r="AR3" t="e">
        <f>I34</f>
        <v>#REF!</v>
      </c>
      <c r="AS3" t="e">
        <f>I35</f>
        <v>#REF!</v>
      </c>
      <c r="AT3" t="e">
        <f>I36</f>
        <v>#REF!</v>
      </c>
      <c r="AU3" t="e">
        <f>I37</f>
        <v>#REF!</v>
      </c>
      <c r="AV3" t="e">
        <f>I38</f>
        <v>#REF!</v>
      </c>
      <c r="AW3" t="e">
        <f>I39</f>
        <v>#REF!</v>
      </c>
      <c r="AX3" t="e">
        <f>I40</f>
        <v>#REF!</v>
      </c>
      <c r="AY3" t="e">
        <f>I41</f>
        <v>#REF!</v>
      </c>
      <c r="AZ3" t="e">
        <f>I42</f>
        <v>#REF!</v>
      </c>
      <c r="BA3" t="e">
        <f>I43</f>
        <v>#REF!</v>
      </c>
      <c r="BB3" t="e">
        <f>I44</f>
        <v>#REF!</v>
      </c>
      <c r="BC3" t="e">
        <f>I45</f>
        <v>#REF!</v>
      </c>
      <c r="BD3" t="e">
        <f>I46</f>
        <v>#REF!</v>
      </c>
      <c r="BE3" t="e">
        <f>I47</f>
        <v>#REF!</v>
      </c>
      <c r="BF3" t="e">
        <f>I48</f>
        <v>#REF!</v>
      </c>
      <c r="BG3" t="e">
        <f>I49</f>
        <v>#REF!</v>
      </c>
      <c r="BH3" t="e">
        <f>I50</f>
        <v>#REF!</v>
      </c>
      <c r="BI3" t="e">
        <f>I51</f>
        <v>#REF!</v>
      </c>
      <c r="BJ3" t="e">
        <f>I52</f>
        <v>#REF!</v>
      </c>
      <c r="BK3" t="e">
        <f>I53</f>
        <v>#REF!</v>
      </c>
      <c r="BL3" t="e">
        <f>I54</f>
        <v>#REF!</v>
      </c>
      <c r="BM3" t="e">
        <f>I55</f>
        <v>#REF!</v>
      </c>
      <c r="BN3" t="e">
        <f>I56</f>
        <v>#REF!</v>
      </c>
      <c r="BO3" t="e">
        <f>I57</f>
        <v>#REF!</v>
      </c>
      <c r="BP3" t="e">
        <f>I58</f>
        <v>#REF!</v>
      </c>
      <c r="BQ3" t="e">
        <f>I59</f>
        <v>#REF!</v>
      </c>
      <c r="BR3" t="e">
        <f>I60</f>
        <v>#REF!</v>
      </c>
    </row>
    <row r="4" spans="1:70">
      <c r="A4" s="14">
        <v>2</v>
      </c>
      <c r="B4" s="12" t="e">
        <f>#REF!</f>
        <v>#REF!</v>
      </c>
      <c r="C4" t="e">
        <f t="shared" ref="C4:C60" si="0">B4/5</f>
        <v>#REF!</v>
      </c>
      <c r="D4" t="e">
        <f t="shared" ref="D4:D60" si="1">1-C4</f>
        <v>#REF!</v>
      </c>
      <c r="H4" t="e">
        <f>#REF!</f>
        <v>#REF!</v>
      </c>
      <c r="I4" t="e">
        <f>#REF!</f>
        <v>#REF!</v>
      </c>
      <c r="J4" t="e">
        <f>#REF!</f>
        <v>#REF!</v>
      </c>
      <c r="L4" t="s">
        <v>169</v>
      </c>
      <c r="M4" t="e">
        <f>J3</f>
        <v>#REF!</v>
      </c>
      <c r="N4" t="e">
        <f>J4</f>
        <v>#REF!</v>
      </c>
      <c r="O4" t="e">
        <f>J5</f>
        <v>#REF!</v>
      </c>
      <c r="P4" t="e">
        <f>J6</f>
        <v>#REF!</v>
      </c>
      <c r="Q4" t="e">
        <f>J7</f>
        <v>#REF!</v>
      </c>
      <c r="R4" t="e">
        <f>J8</f>
        <v>#REF!</v>
      </c>
      <c r="S4" t="e">
        <f>J9</f>
        <v>#REF!</v>
      </c>
      <c r="T4" t="e">
        <f>J10</f>
        <v>#REF!</v>
      </c>
      <c r="U4" t="e">
        <f>J11</f>
        <v>#REF!</v>
      </c>
      <c r="V4" t="e">
        <f>J12</f>
        <v>#REF!</v>
      </c>
      <c r="W4" t="e">
        <f>J13</f>
        <v>#REF!</v>
      </c>
      <c r="X4" t="e">
        <f>J14</f>
        <v>#REF!</v>
      </c>
      <c r="Y4" t="e">
        <f>J15</f>
        <v>#REF!</v>
      </c>
      <c r="Z4" t="e">
        <f>J16</f>
        <v>#REF!</v>
      </c>
      <c r="AA4" t="e">
        <f>J17</f>
        <v>#REF!</v>
      </c>
      <c r="AB4" t="e">
        <f>J18</f>
        <v>#REF!</v>
      </c>
      <c r="AC4" t="e">
        <f>J19</f>
        <v>#REF!</v>
      </c>
      <c r="AD4" t="e">
        <f>J20</f>
        <v>#REF!</v>
      </c>
      <c r="AE4" t="e">
        <f>J21</f>
        <v>#REF!</v>
      </c>
      <c r="AF4" t="e">
        <f>J22</f>
        <v>#REF!</v>
      </c>
      <c r="AG4" t="e">
        <f>J23</f>
        <v>#REF!</v>
      </c>
      <c r="AH4" t="e">
        <f>J24</f>
        <v>#REF!</v>
      </c>
      <c r="AI4" t="e">
        <f>J25</f>
        <v>#REF!</v>
      </c>
      <c r="AJ4" t="e">
        <f>J26</f>
        <v>#REF!</v>
      </c>
      <c r="AK4" t="e">
        <f>J27</f>
        <v>#REF!</v>
      </c>
      <c r="AL4" t="e">
        <f>J28</f>
        <v>#REF!</v>
      </c>
      <c r="AM4" t="e">
        <f>J29</f>
        <v>#REF!</v>
      </c>
      <c r="AN4" t="e">
        <f>J30</f>
        <v>#REF!</v>
      </c>
      <c r="AO4" t="e">
        <f>J31</f>
        <v>#REF!</v>
      </c>
      <c r="AP4" t="e">
        <f>J32</f>
        <v>#REF!</v>
      </c>
      <c r="AQ4" t="e">
        <f>J33</f>
        <v>#REF!</v>
      </c>
      <c r="AR4" t="e">
        <f>J34</f>
        <v>#REF!</v>
      </c>
      <c r="AS4" t="e">
        <f>J35</f>
        <v>#REF!</v>
      </c>
      <c r="AT4" t="e">
        <f>J36</f>
        <v>#REF!</v>
      </c>
      <c r="AU4" t="e">
        <f>J37</f>
        <v>#REF!</v>
      </c>
      <c r="AV4" t="e">
        <f>J38</f>
        <v>#REF!</v>
      </c>
      <c r="AW4" t="e">
        <f>J39</f>
        <v>#REF!</v>
      </c>
      <c r="AX4" t="e">
        <f>J40</f>
        <v>#REF!</v>
      </c>
      <c r="AY4" t="e">
        <f>J41</f>
        <v>#REF!</v>
      </c>
      <c r="AZ4" t="e">
        <f>J42</f>
        <v>#REF!</v>
      </c>
      <c r="BA4" t="e">
        <f>J43</f>
        <v>#REF!</v>
      </c>
      <c r="BB4" t="e">
        <f>J44</f>
        <v>#REF!</v>
      </c>
      <c r="BC4" t="e">
        <f>J45</f>
        <v>#REF!</v>
      </c>
      <c r="BD4" t="e">
        <f>J46</f>
        <v>#REF!</v>
      </c>
      <c r="BE4" t="e">
        <f>J47</f>
        <v>#REF!</v>
      </c>
      <c r="BF4" t="e">
        <f>J48</f>
        <v>#REF!</v>
      </c>
      <c r="BG4" t="e">
        <f>J49</f>
        <v>#REF!</v>
      </c>
      <c r="BH4" t="e">
        <f>J50</f>
        <v>#REF!</v>
      </c>
      <c r="BI4" t="e">
        <f>J51</f>
        <v>#REF!</v>
      </c>
      <c r="BJ4" t="e">
        <f>J52</f>
        <v>#REF!</v>
      </c>
      <c r="BK4" t="e">
        <f>J53</f>
        <v>#REF!</v>
      </c>
      <c r="BL4" t="e">
        <f>J54</f>
        <v>#REF!</v>
      </c>
      <c r="BM4" t="e">
        <f>J55</f>
        <v>#REF!</v>
      </c>
      <c r="BN4" t="e">
        <f>J56</f>
        <v>#REF!</v>
      </c>
      <c r="BO4" t="e">
        <f>J57</f>
        <v>#REF!</v>
      </c>
      <c r="BP4" t="e">
        <f>J58</f>
        <v>#REF!</v>
      </c>
      <c r="BQ4" t="e">
        <f>J59</f>
        <v>#REF!</v>
      </c>
      <c r="BR4" t="e">
        <f>J60</f>
        <v>#REF!</v>
      </c>
    </row>
    <row r="5" spans="1:70">
      <c r="A5" s="14">
        <v>3</v>
      </c>
      <c r="B5" s="12" t="e">
        <f>#REF!</f>
        <v>#REF!</v>
      </c>
      <c r="C5" t="e">
        <f t="shared" si="0"/>
        <v>#REF!</v>
      </c>
      <c r="D5" t="e">
        <f t="shared" si="1"/>
        <v>#REF!</v>
      </c>
      <c r="H5" t="e">
        <f>#REF!</f>
        <v>#REF!</v>
      </c>
      <c r="I5" t="e">
        <f>#REF!</f>
        <v>#REF!</v>
      </c>
      <c r="J5" t="e">
        <f>#REF!</f>
        <v>#REF!</v>
      </c>
    </row>
    <row r="6" spans="1:70">
      <c r="A6" s="14">
        <v>4</v>
      </c>
      <c r="B6" s="12" t="e">
        <f>#REF!</f>
        <v>#REF!</v>
      </c>
      <c r="C6" t="e">
        <f t="shared" si="0"/>
        <v>#REF!</v>
      </c>
      <c r="D6" t="e">
        <f t="shared" si="1"/>
        <v>#REF!</v>
      </c>
      <c r="H6" t="e">
        <f>#REF!</f>
        <v>#REF!</v>
      </c>
      <c r="I6" t="e">
        <f>#REF!</f>
        <v>#REF!</v>
      </c>
      <c r="J6" t="e">
        <f>#REF!</f>
        <v>#REF!</v>
      </c>
    </row>
    <row r="7" spans="1:70">
      <c r="A7" s="14">
        <v>5</v>
      </c>
      <c r="B7" s="12" t="e">
        <f>#REF!</f>
        <v>#REF!</v>
      </c>
      <c r="C7" t="e">
        <f t="shared" si="0"/>
        <v>#REF!</v>
      </c>
      <c r="D7" t="e">
        <f t="shared" si="1"/>
        <v>#REF!</v>
      </c>
      <c r="H7" t="e">
        <f>#REF!</f>
        <v>#REF!</v>
      </c>
      <c r="I7" t="e">
        <f>#REF!</f>
        <v>#REF!</v>
      </c>
      <c r="J7" t="e">
        <f>#REF!</f>
        <v>#REF!</v>
      </c>
    </row>
    <row r="8" spans="1:70">
      <c r="A8" s="14">
        <v>6</v>
      </c>
      <c r="B8" s="12" t="e">
        <f>#REF!</f>
        <v>#REF!</v>
      </c>
      <c r="C8" t="e">
        <f t="shared" si="0"/>
        <v>#REF!</v>
      </c>
      <c r="D8" t="e">
        <f t="shared" si="1"/>
        <v>#REF!</v>
      </c>
      <c r="H8" t="e">
        <f>#REF!</f>
        <v>#REF!</v>
      </c>
      <c r="I8" t="e">
        <f>#REF!</f>
        <v>#REF!</v>
      </c>
      <c r="J8" t="e">
        <f>#REF!</f>
        <v>#REF!</v>
      </c>
    </row>
    <row r="9" spans="1:70">
      <c r="A9" s="14">
        <v>7</v>
      </c>
      <c r="B9" s="12" t="e">
        <f>#REF!</f>
        <v>#REF!</v>
      </c>
      <c r="C9" t="e">
        <f t="shared" si="0"/>
        <v>#REF!</v>
      </c>
      <c r="D9" t="e">
        <f t="shared" si="1"/>
        <v>#REF!</v>
      </c>
      <c r="H9" t="e">
        <f>#REF!</f>
        <v>#REF!</v>
      </c>
      <c r="I9" t="e">
        <f>#REF!</f>
        <v>#REF!</v>
      </c>
      <c r="J9" t="e">
        <f>#REF!</f>
        <v>#REF!</v>
      </c>
    </row>
    <row r="10" spans="1:70">
      <c r="A10" s="14">
        <v>8</v>
      </c>
      <c r="B10" s="12" t="e">
        <f>#REF!</f>
        <v>#REF!</v>
      </c>
      <c r="C10" t="e">
        <f t="shared" si="0"/>
        <v>#REF!</v>
      </c>
      <c r="D10" t="e">
        <f t="shared" si="1"/>
        <v>#REF!</v>
      </c>
      <c r="H10" t="e">
        <f>#REF!</f>
        <v>#REF!</v>
      </c>
      <c r="I10" t="e">
        <f>#REF!</f>
        <v>#REF!</v>
      </c>
      <c r="J10" t="e">
        <f>#REF!</f>
        <v>#REF!</v>
      </c>
    </row>
    <row r="11" spans="1:70">
      <c r="A11" s="14">
        <v>9</v>
      </c>
      <c r="B11" s="12" t="e">
        <f>#REF!</f>
        <v>#REF!</v>
      </c>
      <c r="C11" t="e">
        <f t="shared" si="0"/>
        <v>#REF!</v>
      </c>
      <c r="D11" t="e">
        <f t="shared" si="1"/>
        <v>#REF!</v>
      </c>
      <c r="H11" t="e">
        <f>#REF!</f>
        <v>#REF!</v>
      </c>
      <c r="I11" t="e">
        <f>#REF!</f>
        <v>#REF!</v>
      </c>
      <c r="J11" t="e">
        <f>#REF!</f>
        <v>#REF!</v>
      </c>
    </row>
    <row r="12" spans="1:70">
      <c r="A12" s="14">
        <v>10</v>
      </c>
      <c r="B12" s="12" t="e">
        <f>#REF!</f>
        <v>#REF!</v>
      </c>
      <c r="C12" t="e">
        <f t="shared" si="0"/>
        <v>#REF!</v>
      </c>
      <c r="D12" t="e">
        <f t="shared" si="1"/>
        <v>#REF!</v>
      </c>
      <c r="H12" t="e">
        <f>#REF!</f>
        <v>#REF!</v>
      </c>
      <c r="I12" t="e">
        <f>#REF!</f>
        <v>#REF!</v>
      </c>
      <c r="J12" t="e">
        <f>#REF!</f>
        <v>#REF!</v>
      </c>
    </row>
    <row r="13" spans="1:70">
      <c r="A13" s="14">
        <v>11</v>
      </c>
      <c r="B13" s="12" t="e">
        <f>#REF!</f>
        <v>#REF!</v>
      </c>
      <c r="C13" t="e">
        <f t="shared" si="0"/>
        <v>#REF!</v>
      </c>
      <c r="D13" t="e">
        <f t="shared" si="1"/>
        <v>#REF!</v>
      </c>
      <c r="H13" t="e">
        <f>#REF!</f>
        <v>#REF!</v>
      </c>
      <c r="I13" t="e">
        <f>#REF!</f>
        <v>#REF!</v>
      </c>
      <c r="J13" t="e">
        <f>#REF!</f>
        <v>#REF!</v>
      </c>
    </row>
    <row r="14" spans="1:70">
      <c r="A14" s="14">
        <v>12</v>
      </c>
      <c r="B14" s="12" t="e">
        <f>#REF!</f>
        <v>#REF!</v>
      </c>
      <c r="C14" t="e">
        <f t="shared" si="0"/>
        <v>#REF!</v>
      </c>
      <c r="D14" t="e">
        <f t="shared" si="1"/>
        <v>#REF!</v>
      </c>
      <c r="H14" t="e">
        <f>#REF!</f>
        <v>#REF!</v>
      </c>
      <c r="I14" t="e">
        <f>#REF!</f>
        <v>#REF!</v>
      </c>
      <c r="J14" t="e">
        <f>#REF!</f>
        <v>#REF!</v>
      </c>
    </row>
    <row r="15" spans="1:70">
      <c r="A15" s="14">
        <v>13</v>
      </c>
      <c r="B15" s="12" t="e">
        <f>#REF!</f>
        <v>#REF!</v>
      </c>
      <c r="C15" t="e">
        <f t="shared" si="0"/>
        <v>#REF!</v>
      </c>
      <c r="D15" t="e">
        <f t="shared" si="1"/>
        <v>#REF!</v>
      </c>
      <c r="H15" t="e">
        <f>#REF!</f>
        <v>#REF!</v>
      </c>
      <c r="I15" t="e">
        <f>#REF!</f>
        <v>#REF!</v>
      </c>
      <c r="J15" t="e">
        <f>#REF!</f>
        <v>#REF!</v>
      </c>
    </row>
    <row r="16" spans="1:70">
      <c r="A16" s="14">
        <v>14</v>
      </c>
      <c r="B16" s="12" t="e">
        <f>#REF!</f>
        <v>#REF!</v>
      </c>
      <c r="C16" t="e">
        <f t="shared" si="0"/>
        <v>#REF!</v>
      </c>
      <c r="D16" t="e">
        <f t="shared" si="1"/>
        <v>#REF!</v>
      </c>
      <c r="H16" t="e">
        <f>#REF!</f>
        <v>#REF!</v>
      </c>
      <c r="I16" t="e">
        <f>#REF!</f>
        <v>#REF!</v>
      </c>
      <c r="J16" t="e">
        <f>#REF!</f>
        <v>#REF!</v>
      </c>
    </row>
    <row r="17" spans="1:10">
      <c r="A17" s="14">
        <v>15</v>
      </c>
      <c r="B17" s="12" t="e">
        <f>#REF!</f>
        <v>#REF!</v>
      </c>
      <c r="C17" t="e">
        <f t="shared" si="0"/>
        <v>#REF!</v>
      </c>
      <c r="D17" t="e">
        <f t="shared" si="1"/>
        <v>#REF!</v>
      </c>
      <c r="H17" t="e">
        <f>#REF!</f>
        <v>#REF!</v>
      </c>
      <c r="I17" t="e">
        <f>#REF!</f>
        <v>#REF!</v>
      </c>
      <c r="J17" t="e">
        <f>#REF!</f>
        <v>#REF!</v>
      </c>
    </row>
    <row r="18" spans="1:10">
      <c r="A18" s="14">
        <v>16</v>
      </c>
      <c r="B18" s="12" t="e">
        <f>#REF!</f>
        <v>#REF!</v>
      </c>
      <c r="C18" t="e">
        <f t="shared" si="0"/>
        <v>#REF!</v>
      </c>
      <c r="D18" t="e">
        <f t="shared" si="1"/>
        <v>#REF!</v>
      </c>
      <c r="H18" t="e">
        <f>#REF!</f>
        <v>#REF!</v>
      </c>
      <c r="I18" t="e">
        <f>#REF!</f>
        <v>#REF!</v>
      </c>
      <c r="J18" t="e">
        <f>#REF!</f>
        <v>#REF!</v>
      </c>
    </row>
    <row r="19" spans="1:10">
      <c r="A19" s="14">
        <v>17</v>
      </c>
      <c r="B19" s="12" t="e">
        <f>#REF!</f>
        <v>#REF!</v>
      </c>
      <c r="C19" t="e">
        <f t="shared" si="0"/>
        <v>#REF!</v>
      </c>
      <c r="D19" t="e">
        <f t="shared" si="1"/>
        <v>#REF!</v>
      </c>
      <c r="H19" t="e">
        <f>#REF!</f>
        <v>#REF!</v>
      </c>
      <c r="I19" t="e">
        <f>#REF!</f>
        <v>#REF!</v>
      </c>
      <c r="J19" t="e">
        <f>#REF!</f>
        <v>#REF!</v>
      </c>
    </row>
    <row r="20" spans="1:10">
      <c r="A20" s="14">
        <v>18</v>
      </c>
      <c r="B20" s="12" t="e">
        <f>#REF!</f>
        <v>#REF!</v>
      </c>
      <c r="C20" t="e">
        <f t="shared" si="0"/>
        <v>#REF!</v>
      </c>
      <c r="D20" t="e">
        <f t="shared" si="1"/>
        <v>#REF!</v>
      </c>
      <c r="H20" t="e">
        <f>#REF!</f>
        <v>#REF!</v>
      </c>
      <c r="I20" t="e">
        <f>#REF!</f>
        <v>#REF!</v>
      </c>
      <c r="J20" t="e">
        <f>#REF!</f>
        <v>#REF!</v>
      </c>
    </row>
    <row r="21" spans="1:10">
      <c r="A21" s="14">
        <v>19</v>
      </c>
      <c r="B21" s="12" t="e">
        <f>#REF!</f>
        <v>#REF!</v>
      </c>
      <c r="C21" t="e">
        <f t="shared" si="0"/>
        <v>#REF!</v>
      </c>
      <c r="D21" t="e">
        <f t="shared" si="1"/>
        <v>#REF!</v>
      </c>
      <c r="H21" t="e">
        <f>#REF!</f>
        <v>#REF!</v>
      </c>
      <c r="I21" t="e">
        <f>#REF!</f>
        <v>#REF!</v>
      </c>
      <c r="J21" t="e">
        <f>#REF!</f>
        <v>#REF!</v>
      </c>
    </row>
    <row r="22" spans="1:10">
      <c r="A22" s="14">
        <v>20</v>
      </c>
      <c r="B22" s="12" t="e">
        <f>#REF!</f>
        <v>#REF!</v>
      </c>
      <c r="C22" t="e">
        <f t="shared" si="0"/>
        <v>#REF!</v>
      </c>
      <c r="D22" t="e">
        <f t="shared" si="1"/>
        <v>#REF!</v>
      </c>
      <c r="H22" t="e">
        <f>#REF!</f>
        <v>#REF!</v>
      </c>
      <c r="I22" t="e">
        <f>#REF!</f>
        <v>#REF!</v>
      </c>
      <c r="J22" t="e">
        <f>#REF!</f>
        <v>#REF!</v>
      </c>
    </row>
    <row r="23" spans="1:10">
      <c r="A23" s="14">
        <v>21</v>
      </c>
      <c r="B23" s="12" t="e">
        <f>#REF!</f>
        <v>#REF!</v>
      </c>
      <c r="C23" t="e">
        <f t="shared" si="0"/>
        <v>#REF!</v>
      </c>
      <c r="D23" t="e">
        <f t="shared" si="1"/>
        <v>#REF!</v>
      </c>
      <c r="H23" t="e">
        <f>#REF!</f>
        <v>#REF!</v>
      </c>
      <c r="I23" t="e">
        <f>#REF!</f>
        <v>#REF!</v>
      </c>
      <c r="J23" t="e">
        <f>#REF!</f>
        <v>#REF!</v>
      </c>
    </row>
    <row r="24" spans="1:10">
      <c r="A24" s="14">
        <v>22</v>
      </c>
      <c r="B24" s="12" t="e">
        <f>#REF!</f>
        <v>#REF!</v>
      </c>
      <c r="C24" t="e">
        <f t="shared" si="0"/>
        <v>#REF!</v>
      </c>
      <c r="D24" t="e">
        <f t="shared" si="1"/>
        <v>#REF!</v>
      </c>
      <c r="H24" t="e">
        <f>#REF!</f>
        <v>#REF!</v>
      </c>
      <c r="I24" t="e">
        <f>#REF!</f>
        <v>#REF!</v>
      </c>
      <c r="J24" t="e">
        <f>#REF!</f>
        <v>#REF!</v>
      </c>
    </row>
    <row r="25" spans="1:10">
      <c r="A25" s="14">
        <v>23</v>
      </c>
      <c r="B25" s="12" t="e">
        <f>#REF!</f>
        <v>#REF!</v>
      </c>
      <c r="C25" t="e">
        <f t="shared" si="0"/>
        <v>#REF!</v>
      </c>
      <c r="D25" t="e">
        <f t="shared" si="1"/>
        <v>#REF!</v>
      </c>
      <c r="H25" t="e">
        <f>#REF!</f>
        <v>#REF!</v>
      </c>
      <c r="I25" t="e">
        <f>#REF!</f>
        <v>#REF!</v>
      </c>
      <c r="J25" t="e">
        <f>#REF!</f>
        <v>#REF!</v>
      </c>
    </row>
    <row r="26" spans="1:10">
      <c r="A26" s="14">
        <v>24</v>
      </c>
      <c r="B26" s="12" t="e">
        <f>#REF!</f>
        <v>#REF!</v>
      </c>
      <c r="C26" t="e">
        <f t="shared" si="0"/>
        <v>#REF!</v>
      </c>
      <c r="D26" t="e">
        <f t="shared" si="1"/>
        <v>#REF!</v>
      </c>
      <c r="H26" t="e">
        <f>#REF!</f>
        <v>#REF!</v>
      </c>
      <c r="I26" t="e">
        <f>#REF!</f>
        <v>#REF!</v>
      </c>
      <c r="J26" t="e">
        <f>#REF!</f>
        <v>#REF!</v>
      </c>
    </row>
    <row r="27" spans="1:10">
      <c r="A27" s="14">
        <v>25</v>
      </c>
      <c r="B27" s="12" t="e">
        <f>#REF!</f>
        <v>#REF!</v>
      </c>
      <c r="C27" t="e">
        <f t="shared" si="0"/>
        <v>#REF!</v>
      </c>
      <c r="D27" t="e">
        <f t="shared" si="1"/>
        <v>#REF!</v>
      </c>
      <c r="H27" t="e">
        <f>#REF!</f>
        <v>#REF!</v>
      </c>
      <c r="I27" t="e">
        <f>#REF!</f>
        <v>#REF!</v>
      </c>
      <c r="J27" t="e">
        <f>#REF!</f>
        <v>#REF!</v>
      </c>
    </row>
    <row r="28" spans="1:10">
      <c r="A28" s="14">
        <v>26</v>
      </c>
      <c r="B28" s="12" t="e">
        <f>#REF!</f>
        <v>#REF!</v>
      </c>
      <c r="C28" t="e">
        <f t="shared" si="0"/>
        <v>#REF!</v>
      </c>
      <c r="D28" t="e">
        <f t="shared" si="1"/>
        <v>#REF!</v>
      </c>
      <c r="H28" t="e">
        <f>#REF!</f>
        <v>#REF!</v>
      </c>
      <c r="I28" t="e">
        <f>#REF!</f>
        <v>#REF!</v>
      </c>
      <c r="J28" t="e">
        <f>#REF!</f>
        <v>#REF!</v>
      </c>
    </row>
    <row r="29" spans="1:10">
      <c r="A29" s="14">
        <v>27</v>
      </c>
      <c r="B29" s="12" t="e">
        <f>#REF!</f>
        <v>#REF!</v>
      </c>
      <c r="C29" t="e">
        <f t="shared" si="0"/>
        <v>#REF!</v>
      </c>
      <c r="D29" t="e">
        <f t="shared" si="1"/>
        <v>#REF!</v>
      </c>
      <c r="H29" t="e">
        <f>#REF!</f>
        <v>#REF!</v>
      </c>
      <c r="I29" t="e">
        <f>#REF!</f>
        <v>#REF!</v>
      </c>
      <c r="J29" t="e">
        <f>#REF!</f>
        <v>#REF!</v>
      </c>
    </row>
    <row r="30" spans="1:10">
      <c r="A30" s="14">
        <v>28</v>
      </c>
      <c r="B30" s="12" t="e">
        <f>#REF!</f>
        <v>#REF!</v>
      </c>
      <c r="C30" t="e">
        <f t="shared" si="0"/>
        <v>#REF!</v>
      </c>
      <c r="D30" t="e">
        <f t="shared" si="1"/>
        <v>#REF!</v>
      </c>
      <c r="H30" t="e">
        <f>#REF!</f>
        <v>#REF!</v>
      </c>
      <c r="I30" t="e">
        <f>#REF!</f>
        <v>#REF!</v>
      </c>
      <c r="J30" t="e">
        <f>#REF!</f>
        <v>#REF!</v>
      </c>
    </row>
    <row r="31" spans="1:10">
      <c r="A31" s="14">
        <v>29</v>
      </c>
      <c r="B31" s="12" t="e">
        <f>#REF!</f>
        <v>#REF!</v>
      </c>
      <c r="C31" t="e">
        <f t="shared" si="0"/>
        <v>#REF!</v>
      </c>
      <c r="D31" t="e">
        <f t="shared" si="1"/>
        <v>#REF!</v>
      </c>
      <c r="H31" t="e">
        <f>#REF!</f>
        <v>#REF!</v>
      </c>
      <c r="I31" t="e">
        <f>#REF!</f>
        <v>#REF!</v>
      </c>
      <c r="J31" t="e">
        <f>#REF!</f>
        <v>#REF!</v>
      </c>
    </row>
    <row r="32" spans="1:10">
      <c r="A32" s="14">
        <v>30</v>
      </c>
      <c r="B32" s="12" t="e">
        <f>#REF!</f>
        <v>#REF!</v>
      </c>
      <c r="C32" t="e">
        <f t="shared" si="0"/>
        <v>#REF!</v>
      </c>
      <c r="D32" t="e">
        <f t="shared" si="1"/>
        <v>#REF!</v>
      </c>
      <c r="H32" t="e">
        <f>#REF!</f>
        <v>#REF!</v>
      </c>
      <c r="I32" t="e">
        <f>#REF!</f>
        <v>#REF!</v>
      </c>
      <c r="J32" t="e">
        <f>#REF!</f>
        <v>#REF!</v>
      </c>
    </row>
    <row r="33" spans="1:10">
      <c r="A33" s="14">
        <v>31</v>
      </c>
      <c r="B33" s="12" t="e">
        <f>#REF!</f>
        <v>#REF!</v>
      </c>
      <c r="C33" t="e">
        <f t="shared" si="0"/>
        <v>#REF!</v>
      </c>
      <c r="D33" t="e">
        <f t="shared" si="1"/>
        <v>#REF!</v>
      </c>
      <c r="H33" t="e">
        <f>#REF!</f>
        <v>#REF!</v>
      </c>
      <c r="I33" t="e">
        <f>#REF!</f>
        <v>#REF!</v>
      </c>
      <c r="J33" t="e">
        <f>#REF!</f>
        <v>#REF!</v>
      </c>
    </row>
    <row r="34" spans="1:10">
      <c r="A34" s="14">
        <v>32</v>
      </c>
      <c r="B34" s="12" t="e">
        <f>#REF!</f>
        <v>#REF!</v>
      </c>
      <c r="C34" t="e">
        <f t="shared" si="0"/>
        <v>#REF!</v>
      </c>
      <c r="D34" t="e">
        <f t="shared" si="1"/>
        <v>#REF!</v>
      </c>
      <c r="H34" t="e">
        <f>#REF!</f>
        <v>#REF!</v>
      </c>
      <c r="I34" t="e">
        <f>#REF!</f>
        <v>#REF!</v>
      </c>
      <c r="J34" t="e">
        <f>#REF!</f>
        <v>#REF!</v>
      </c>
    </row>
    <row r="35" spans="1:10">
      <c r="A35" s="14">
        <v>33</v>
      </c>
      <c r="B35" s="12" t="e">
        <f>#REF!</f>
        <v>#REF!</v>
      </c>
      <c r="C35" t="e">
        <f t="shared" si="0"/>
        <v>#REF!</v>
      </c>
      <c r="D35" t="e">
        <f t="shared" si="1"/>
        <v>#REF!</v>
      </c>
      <c r="H35" t="e">
        <f>#REF!</f>
        <v>#REF!</v>
      </c>
      <c r="I35" t="e">
        <f>#REF!</f>
        <v>#REF!</v>
      </c>
      <c r="J35" t="e">
        <f>#REF!</f>
        <v>#REF!</v>
      </c>
    </row>
    <row r="36" spans="1:10">
      <c r="A36" s="14">
        <v>34</v>
      </c>
      <c r="B36" s="12" t="e">
        <f>#REF!</f>
        <v>#REF!</v>
      </c>
      <c r="C36" t="e">
        <f t="shared" si="0"/>
        <v>#REF!</v>
      </c>
      <c r="D36" t="e">
        <f t="shared" si="1"/>
        <v>#REF!</v>
      </c>
      <c r="H36" t="e">
        <f>#REF!</f>
        <v>#REF!</v>
      </c>
      <c r="I36" t="e">
        <f>#REF!</f>
        <v>#REF!</v>
      </c>
      <c r="J36" t="e">
        <f>#REF!</f>
        <v>#REF!</v>
      </c>
    </row>
    <row r="37" spans="1:10">
      <c r="A37" s="14">
        <v>35</v>
      </c>
      <c r="B37" s="12" t="e">
        <f>#REF!</f>
        <v>#REF!</v>
      </c>
      <c r="C37" t="e">
        <f t="shared" si="0"/>
        <v>#REF!</v>
      </c>
      <c r="D37" t="e">
        <f t="shared" si="1"/>
        <v>#REF!</v>
      </c>
      <c r="H37" t="e">
        <f>#REF!</f>
        <v>#REF!</v>
      </c>
      <c r="I37" t="e">
        <f>#REF!</f>
        <v>#REF!</v>
      </c>
      <c r="J37" t="e">
        <f>#REF!</f>
        <v>#REF!</v>
      </c>
    </row>
    <row r="38" spans="1:10">
      <c r="A38" s="14">
        <v>36</v>
      </c>
      <c r="B38" s="12" t="e">
        <f>#REF!</f>
        <v>#REF!</v>
      </c>
      <c r="C38" t="e">
        <f t="shared" si="0"/>
        <v>#REF!</v>
      </c>
      <c r="D38" t="e">
        <f t="shared" si="1"/>
        <v>#REF!</v>
      </c>
      <c r="H38" t="e">
        <f>#REF!</f>
        <v>#REF!</v>
      </c>
      <c r="I38" t="e">
        <f>#REF!</f>
        <v>#REF!</v>
      </c>
      <c r="J38" t="e">
        <f>#REF!</f>
        <v>#REF!</v>
      </c>
    </row>
    <row r="39" spans="1:10">
      <c r="A39" s="14">
        <v>37</v>
      </c>
      <c r="B39" s="12" t="e">
        <f>#REF!</f>
        <v>#REF!</v>
      </c>
      <c r="C39" t="e">
        <f t="shared" si="0"/>
        <v>#REF!</v>
      </c>
      <c r="D39" t="e">
        <f t="shared" si="1"/>
        <v>#REF!</v>
      </c>
      <c r="H39" t="e">
        <f>#REF!</f>
        <v>#REF!</v>
      </c>
      <c r="I39" t="e">
        <f>#REF!</f>
        <v>#REF!</v>
      </c>
      <c r="J39" t="e">
        <f>#REF!</f>
        <v>#REF!</v>
      </c>
    </row>
    <row r="40" spans="1:10">
      <c r="A40" s="14">
        <v>38</v>
      </c>
      <c r="B40" s="12" t="e">
        <f>#REF!</f>
        <v>#REF!</v>
      </c>
      <c r="C40" t="e">
        <f t="shared" si="0"/>
        <v>#REF!</v>
      </c>
      <c r="D40" t="e">
        <f t="shared" si="1"/>
        <v>#REF!</v>
      </c>
      <c r="H40" t="e">
        <f>#REF!</f>
        <v>#REF!</v>
      </c>
      <c r="I40" t="e">
        <f>#REF!</f>
        <v>#REF!</v>
      </c>
      <c r="J40" t="e">
        <f>#REF!</f>
        <v>#REF!</v>
      </c>
    </row>
    <row r="41" spans="1:10">
      <c r="A41" s="14">
        <v>39</v>
      </c>
      <c r="B41" s="12" t="e">
        <f>#REF!</f>
        <v>#REF!</v>
      </c>
      <c r="C41" t="e">
        <f t="shared" si="0"/>
        <v>#REF!</v>
      </c>
      <c r="D41" t="e">
        <f t="shared" si="1"/>
        <v>#REF!</v>
      </c>
      <c r="H41" t="e">
        <f>#REF!</f>
        <v>#REF!</v>
      </c>
      <c r="I41" t="e">
        <f>#REF!</f>
        <v>#REF!</v>
      </c>
      <c r="J41" t="e">
        <f>#REF!</f>
        <v>#REF!</v>
      </c>
    </row>
    <row r="42" spans="1:10">
      <c r="A42" s="14">
        <v>40</v>
      </c>
      <c r="B42" s="12" t="e">
        <f>#REF!</f>
        <v>#REF!</v>
      </c>
      <c r="C42" t="e">
        <f t="shared" si="0"/>
        <v>#REF!</v>
      </c>
      <c r="D42" t="e">
        <f t="shared" si="1"/>
        <v>#REF!</v>
      </c>
      <c r="H42" t="e">
        <f>#REF!</f>
        <v>#REF!</v>
      </c>
      <c r="I42" t="e">
        <f>#REF!</f>
        <v>#REF!</v>
      </c>
      <c r="J42" t="e">
        <f>#REF!</f>
        <v>#REF!</v>
      </c>
    </row>
    <row r="43" spans="1:10">
      <c r="A43" s="14">
        <v>41</v>
      </c>
      <c r="B43" s="12" t="e">
        <f>#REF!</f>
        <v>#REF!</v>
      </c>
      <c r="C43" t="e">
        <f t="shared" si="0"/>
        <v>#REF!</v>
      </c>
      <c r="D43" t="e">
        <f t="shared" si="1"/>
        <v>#REF!</v>
      </c>
      <c r="H43" t="e">
        <f>#REF!</f>
        <v>#REF!</v>
      </c>
      <c r="I43" t="e">
        <f>#REF!</f>
        <v>#REF!</v>
      </c>
      <c r="J43" t="e">
        <f>#REF!</f>
        <v>#REF!</v>
      </c>
    </row>
    <row r="44" spans="1:10">
      <c r="A44" s="14">
        <v>42</v>
      </c>
      <c r="B44" s="12" t="e">
        <f>#REF!</f>
        <v>#REF!</v>
      </c>
      <c r="C44" t="e">
        <f t="shared" si="0"/>
        <v>#REF!</v>
      </c>
      <c r="D44" t="e">
        <f t="shared" si="1"/>
        <v>#REF!</v>
      </c>
      <c r="H44" t="e">
        <f>#REF!</f>
        <v>#REF!</v>
      </c>
      <c r="I44" t="e">
        <f>#REF!</f>
        <v>#REF!</v>
      </c>
      <c r="J44" t="e">
        <f>#REF!</f>
        <v>#REF!</v>
      </c>
    </row>
    <row r="45" spans="1:10">
      <c r="A45" s="14">
        <v>43</v>
      </c>
      <c r="B45" s="12" t="e">
        <f>#REF!</f>
        <v>#REF!</v>
      </c>
      <c r="C45" t="e">
        <f t="shared" si="0"/>
        <v>#REF!</v>
      </c>
      <c r="D45" t="e">
        <f t="shared" si="1"/>
        <v>#REF!</v>
      </c>
      <c r="H45" t="e">
        <f>#REF!</f>
        <v>#REF!</v>
      </c>
      <c r="I45" t="e">
        <f>#REF!</f>
        <v>#REF!</v>
      </c>
      <c r="J45" t="e">
        <f>#REF!</f>
        <v>#REF!</v>
      </c>
    </row>
    <row r="46" spans="1:10">
      <c r="A46" s="14">
        <v>44</v>
      </c>
      <c r="B46" s="12" t="e">
        <f>#REF!</f>
        <v>#REF!</v>
      </c>
      <c r="C46" t="e">
        <f t="shared" si="0"/>
        <v>#REF!</v>
      </c>
      <c r="D46" t="e">
        <f t="shared" si="1"/>
        <v>#REF!</v>
      </c>
      <c r="H46" t="e">
        <f>#REF!</f>
        <v>#REF!</v>
      </c>
      <c r="I46" t="e">
        <f>#REF!</f>
        <v>#REF!</v>
      </c>
      <c r="J46" t="e">
        <f>#REF!</f>
        <v>#REF!</v>
      </c>
    </row>
    <row r="47" spans="1:10">
      <c r="A47" s="14">
        <v>45</v>
      </c>
      <c r="B47" s="12" t="e">
        <f>#REF!</f>
        <v>#REF!</v>
      </c>
      <c r="C47" t="e">
        <f t="shared" si="0"/>
        <v>#REF!</v>
      </c>
      <c r="D47" t="e">
        <f t="shared" si="1"/>
        <v>#REF!</v>
      </c>
      <c r="H47" t="e">
        <f>#REF!</f>
        <v>#REF!</v>
      </c>
      <c r="I47" t="e">
        <f>#REF!</f>
        <v>#REF!</v>
      </c>
      <c r="J47" t="e">
        <f>#REF!</f>
        <v>#REF!</v>
      </c>
    </row>
    <row r="48" spans="1:10">
      <c r="A48" s="14">
        <v>46</v>
      </c>
      <c r="B48" s="12" t="e">
        <f>#REF!</f>
        <v>#REF!</v>
      </c>
      <c r="C48" t="e">
        <f t="shared" si="0"/>
        <v>#REF!</v>
      </c>
      <c r="D48" t="e">
        <f t="shared" si="1"/>
        <v>#REF!</v>
      </c>
      <c r="H48" t="e">
        <f>#REF!</f>
        <v>#REF!</v>
      </c>
      <c r="I48" t="e">
        <f>#REF!</f>
        <v>#REF!</v>
      </c>
      <c r="J48" t="e">
        <f>#REF!</f>
        <v>#REF!</v>
      </c>
    </row>
    <row r="49" spans="1:10">
      <c r="A49" s="14">
        <v>47</v>
      </c>
      <c r="B49" s="12" t="e">
        <f>#REF!</f>
        <v>#REF!</v>
      </c>
      <c r="C49" t="e">
        <f t="shared" si="0"/>
        <v>#REF!</v>
      </c>
      <c r="D49" t="e">
        <f t="shared" si="1"/>
        <v>#REF!</v>
      </c>
      <c r="H49" t="e">
        <f>#REF!</f>
        <v>#REF!</v>
      </c>
      <c r="I49" t="e">
        <f>#REF!</f>
        <v>#REF!</v>
      </c>
      <c r="J49" t="e">
        <f>#REF!</f>
        <v>#REF!</v>
      </c>
    </row>
    <row r="50" spans="1:10">
      <c r="A50" s="14">
        <v>48</v>
      </c>
      <c r="B50" s="12" t="e">
        <f>#REF!</f>
        <v>#REF!</v>
      </c>
      <c r="C50" t="e">
        <f t="shared" si="0"/>
        <v>#REF!</v>
      </c>
      <c r="D50" t="e">
        <f t="shared" si="1"/>
        <v>#REF!</v>
      </c>
      <c r="H50" t="e">
        <f>#REF!</f>
        <v>#REF!</v>
      </c>
      <c r="I50" t="e">
        <f>#REF!</f>
        <v>#REF!</v>
      </c>
      <c r="J50" t="e">
        <f>#REF!</f>
        <v>#REF!</v>
      </c>
    </row>
    <row r="51" spans="1:10">
      <c r="A51" s="14">
        <v>49</v>
      </c>
      <c r="B51" s="12" t="e">
        <f>#REF!</f>
        <v>#REF!</v>
      </c>
      <c r="C51" t="e">
        <f t="shared" si="0"/>
        <v>#REF!</v>
      </c>
      <c r="D51" t="e">
        <f t="shared" si="1"/>
        <v>#REF!</v>
      </c>
      <c r="H51" t="e">
        <f>#REF!</f>
        <v>#REF!</v>
      </c>
      <c r="I51" t="e">
        <f>#REF!</f>
        <v>#REF!</v>
      </c>
      <c r="J51" t="e">
        <f>#REF!</f>
        <v>#REF!</v>
      </c>
    </row>
    <row r="52" spans="1:10">
      <c r="A52" s="14">
        <v>50</v>
      </c>
      <c r="B52" s="12" t="e">
        <f>#REF!</f>
        <v>#REF!</v>
      </c>
      <c r="C52" t="e">
        <f t="shared" si="0"/>
        <v>#REF!</v>
      </c>
      <c r="D52" t="e">
        <f t="shared" si="1"/>
        <v>#REF!</v>
      </c>
      <c r="H52" t="e">
        <f>#REF!</f>
        <v>#REF!</v>
      </c>
      <c r="I52" t="e">
        <f>#REF!</f>
        <v>#REF!</v>
      </c>
      <c r="J52" t="e">
        <f>#REF!</f>
        <v>#REF!</v>
      </c>
    </row>
    <row r="53" spans="1:10">
      <c r="A53" s="14">
        <v>51</v>
      </c>
      <c r="B53" s="12" t="e">
        <f>#REF!</f>
        <v>#REF!</v>
      </c>
      <c r="C53" t="e">
        <f t="shared" si="0"/>
        <v>#REF!</v>
      </c>
      <c r="D53" t="e">
        <f t="shared" si="1"/>
        <v>#REF!</v>
      </c>
      <c r="H53" t="e">
        <f>#REF!</f>
        <v>#REF!</v>
      </c>
      <c r="I53" t="e">
        <f>#REF!</f>
        <v>#REF!</v>
      </c>
      <c r="J53" t="e">
        <f>#REF!</f>
        <v>#REF!</v>
      </c>
    </row>
    <row r="54" spans="1:10">
      <c r="A54" s="14">
        <v>52</v>
      </c>
      <c r="B54" s="12" t="e">
        <f>#REF!</f>
        <v>#REF!</v>
      </c>
      <c r="C54" t="e">
        <f t="shared" si="0"/>
        <v>#REF!</v>
      </c>
      <c r="D54" t="e">
        <f t="shared" si="1"/>
        <v>#REF!</v>
      </c>
      <c r="H54" t="e">
        <f>#REF!</f>
        <v>#REF!</v>
      </c>
      <c r="I54" t="e">
        <f>#REF!</f>
        <v>#REF!</v>
      </c>
      <c r="J54" t="e">
        <f>#REF!</f>
        <v>#REF!</v>
      </c>
    </row>
    <row r="55" spans="1:10">
      <c r="A55" s="14">
        <v>53</v>
      </c>
      <c r="B55" s="12" t="e">
        <f>#REF!</f>
        <v>#REF!</v>
      </c>
      <c r="C55" t="e">
        <f t="shared" si="0"/>
        <v>#REF!</v>
      </c>
      <c r="D55" t="e">
        <f t="shared" si="1"/>
        <v>#REF!</v>
      </c>
      <c r="H55" t="e">
        <f>#REF!</f>
        <v>#REF!</v>
      </c>
      <c r="I55" t="e">
        <f>#REF!</f>
        <v>#REF!</v>
      </c>
      <c r="J55" t="e">
        <f>#REF!</f>
        <v>#REF!</v>
      </c>
    </row>
    <row r="56" spans="1:10">
      <c r="A56" s="14">
        <v>54</v>
      </c>
      <c r="B56" s="12" t="e">
        <f>#REF!</f>
        <v>#REF!</v>
      </c>
      <c r="C56" t="e">
        <f t="shared" si="0"/>
        <v>#REF!</v>
      </c>
      <c r="D56" t="e">
        <f t="shared" si="1"/>
        <v>#REF!</v>
      </c>
      <c r="H56" t="e">
        <f>#REF!</f>
        <v>#REF!</v>
      </c>
      <c r="I56" t="e">
        <f>#REF!</f>
        <v>#REF!</v>
      </c>
      <c r="J56" t="e">
        <f>#REF!</f>
        <v>#REF!</v>
      </c>
    </row>
    <row r="57" spans="1:10">
      <c r="A57" s="14">
        <v>55</v>
      </c>
      <c r="B57" s="12" t="e">
        <f>#REF!</f>
        <v>#REF!</v>
      </c>
      <c r="C57" t="e">
        <f t="shared" si="0"/>
        <v>#REF!</v>
      </c>
      <c r="D57" t="e">
        <f t="shared" si="1"/>
        <v>#REF!</v>
      </c>
      <c r="H57" t="e">
        <f>#REF!</f>
        <v>#REF!</v>
      </c>
      <c r="I57" t="e">
        <f>#REF!</f>
        <v>#REF!</v>
      </c>
      <c r="J57" t="e">
        <f>#REF!</f>
        <v>#REF!</v>
      </c>
    </row>
    <row r="58" spans="1:10">
      <c r="A58" s="14">
        <v>56</v>
      </c>
      <c r="B58" s="12" t="e">
        <f>#REF!</f>
        <v>#REF!</v>
      </c>
      <c r="C58" t="e">
        <f t="shared" si="0"/>
        <v>#REF!</v>
      </c>
      <c r="D58" t="e">
        <f t="shared" si="1"/>
        <v>#REF!</v>
      </c>
      <c r="H58" t="e">
        <f>#REF!</f>
        <v>#REF!</v>
      </c>
      <c r="I58" t="e">
        <f>#REF!</f>
        <v>#REF!</v>
      </c>
      <c r="J58" t="e">
        <f>#REF!</f>
        <v>#REF!</v>
      </c>
    </row>
    <row r="59" spans="1:10">
      <c r="A59" s="14">
        <v>57</v>
      </c>
      <c r="B59" s="12" t="e">
        <f>#REF!</f>
        <v>#REF!</v>
      </c>
      <c r="C59" t="e">
        <f t="shared" si="0"/>
        <v>#REF!</v>
      </c>
      <c r="D59" t="e">
        <f t="shared" si="1"/>
        <v>#REF!</v>
      </c>
      <c r="H59" t="e">
        <f>#REF!</f>
        <v>#REF!</v>
      </c>
      <c r="I59" t="e">
        <f>#REF!</f>
        <v>#REF!</v>
      </c>
      <c r="J59" t="e">
        <f>#REF!</f>
        <v>#REF!</v>
      </c>
    </row>
    <row r="60" spans="1:10">
      <c r="A60" s="14">
        <v>58</v>
      </c>
      <c r="B60" s="12" t="e">
        <f>#REF!</f>
        <v>#REF!</v>
      </c>
      <c r="C60" t="e">
        <f t="shared" si="0"/>
        <v>#REF!</v>
      </c>
      <c r="D60" t="e">
        <f t="shared" si="1"/>
        <v>#REF!</v>
      </c>
      <c r="H60" t="e">
        <f>#REF!</f>
        <v>#REF!</v>
      </c>
      <c r="I60" t="e">
        <f>#REF!</f>
        <v>#REF!</v>
      </c>
      <c r="J60" t="e">
        <f>#REF!</f>
        <v>#REF!</v>
      </c>
    </row>
    <row r="66" spans="2:2">
      <c r="B66">
        <v>1</v>
      </c>
    </row>
    <row r="67" spans="2:2">
      <c r="B67">
        <v>2</v>
      </c>
    </row>
    <row r="68" spans="2:2">
      <c r="B68">
        <v>3</v>
      </c>
    </row>
    <row r="69" spans="2:2">
      <c r="B69">
        <v>4</v>
      </c>
    </row>
    <row r="70" spans="2:2">
      <c r="B70">
        <v>5</v>
      </c>
    </row>
  </sheetData>
  <pageMargins left="0.7" right="0.7" top="0.75" bottom="0.75" header="0.3" footer="0.3"/>
  <headerFooter>
    <oddFooter>&amp;L_x000D_&amp;1#&amp;"Calibri"&amp;7&amp;K000000 ***Este documento está clasificado como USO INTERNO por MOVISTAR. ***This document is classified as INTERNAL USE by MOVISTAR.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965559-4feb-406b-967e-62025ba8a467">
      <Terms xmlns="http://schemas.microsoft.com/office/infopath/2007/PartnerControls"/>
    </lcf76f155ced4ddcb4097134ff3c332f>
    <TaxCatchAll xmlns="dcff5080-9e62-41b6-a2e6-d9a3487a0df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1CCA4B222D8949B08D8DD731AA5AF4" ma:contentTypeVersion="4" ma:contentTypeDescription="Create a new document." ma:contentTypeScope="" ma:versionID="9e74ebea474b4db842ca820c22d7b590">
  <xsd:schema xmlns:xsd="http://www.w3.org/2001/XMLSchema" xmlns:xs="http://www.w3.org/2001/XMLSchema" xmlns:p="http://schemas.microsoft.com/office/2006/metadata/properties" xmlns:ns2="71b41d23-60b4-4098-b44e-0d69a4e5a5d0" xmlns:ns3="d3c0dac5-f036-4b72-a570-393dc1594a6a" xmlns:ns4="fd965559-4feb-406b-967e-62025ba8a467" xmlns:ns5="dcff5080-9e62-41b6-a2e6-d9a3487a0df6" targetNamespace="http://schemas.microsoft.com/office/2006/metadata/properties" ma:root="true" ma:fieldsID="dc495717ac9b8bc11721fe16e7ca12ab" ns2:_="" ns3:_="" ns4:_="" ns5:_="">
    <xsd:import namespace="71b41d23-60b4-4098-b44e-0d69a4e5a5d0"/>
    <xsd:import namespace="d3c0dac5-f036-4b72-a570-393dc1594a6a"/>
    <xsd:import namespace="fd965559-4feb-406b-967e-62025ba8a467"/>
    <xsd:import namespace="dcff5080-9e62-41b6-a2e6-d9a3487a0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1d23-60b4-4098-b44e-0d69a4e5a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0dac5-f036-4b72-a570-393dc1594a6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65559-4feb-406b-967e-62025ba8a46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5ed843c-b6b2-4cda-91c1-b3c0fdc4cf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f5080-9e62-41b6-a2e6-d9a3487a0df6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0d5151c-8742-41b4-b65b-349149ad7151}" ma:internalName="TaxCatchAll" ma:showField="CatchAllData" ma:web="dcff5080-9e62-41b6-a2e6-d9a3487a0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18CC0B-440C-4D58-BA98-F988822760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F6F0FF-8A57-4FC4-91DA-96B8C577A38F}">
  <ds:schemaRefs>
    <ds:schemaRef ds:uri="http://schemas.microsoft.com/office/2006/metadata/properties"/>
    <ds:schemaRef ds:uri="http://schemas.microsoft.com/office/infopath/2007/PartnerControls"/>
    <ds:schemaRef ds:uri="fd965559-4feb-406b-967e-62025ba8a467"/>
    <ds:schemaRef ds:uri="dcff5080-9e62-41b6-a2e6-d9a3487a0df6"/>
  </ds:schemaRefs>
</ds:datastoreItem>
</file>

<file path=customXml/itemProps3.xml><?xml version="1.0" encoding="utf-8"?>
<ds:datastoreItem xmlns:ds="http://schemas.openxmlformats.org/officeDocument/2006/customXml" ds:itemID="{A653CE59-77BC-4956-BED2-DFCF011E31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b41d23-60b4-4098-b44e-0d69a4e5a5d0"/>
    <ds:schemaRef ds:uri="d3c0dac5-f036-4b72-a570-393dc1594a6a"/>
    <ds:schemaRef ds:uri="fd965559-4feb-406b-967e-62025ba8a467"/>
    <ds:schemaRef ds:uri="dcff5080-9e62-41b6-a2e6-d9a3487a0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removed="0"/>
  <clbl:label id="{bd937b97-c99c-4d09-879a-532c8bb3d6d2}" enabled="1" method="Privilege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Tablero</vt:lpstr>
      <vt:lpstr>Detalle de Input</vt:lpstr>
      <vt:lpstr>Consciencia Situacional</vt:lpstr>
      <vt:lpstr>vvv</vt:lpstr>
      <vt:lpstr>Consciencia Situacional (2)</vt:lpstr>
      <vt:lpstr>Matriz de impactos graficos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Calidad</cp:lastModifiedBy>
  <cp:revision/>
  <dcterms:created xsi:type="dcterms:W3CDTF">2018-05-08T12:35:14Z</dcterms:created>
  <dcterms:modified xsi:type="dcterms:W3CDTF">2026-06-21T18:16:35Z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0x010100B91CCA4B222D8949B08D8DD731AA5AF4</vt:lpwstr>
  </property>
  <property fmtid="{D5CDD505-2E9C-101B-9397-08002B2CF9AE}" pid="3" name="MSIP_Label_bd937b97-c99c-4d09-879a-532c8bb3d6d2_Enabled">
    <vt:lpwstr>true</vt:lpwstr>
  </property>
  <property fmtid="{D5CDD505-2E9C-101B-9397-08002B2CF9AE}" pid="4" name="MSIP_Label_bd937b97-c99c-4d09-879a-532c8bb3d6d2_SetDate">
    <vt:lpwstr>2023-10-03T13:04:37Z</vt:lpwstr>
  </property>
  <property fmtid="{D5CDD505-2E9C-101B-9397-08002B2CF9AE}" pid="5" name="MSIP_Label_bd937b97-c99c-4d09-879a-532c8bb3d6d2_Method">
    <vt:lpwstr>Privileged</vt:lpwstr>
  </property>
  <property fmtid="{D5CDD505-2E9C-101B-9397-08002B2CF9AE}" pid="6" name="MSIP_Label_bd937b97-c99c-4d09-879a-532c8bb3d6d2_Name">
    <vt:lpwstr>bd937b97-c99c-4d09-879a-532c8bb3d6d2</vt:lpwstr>
  </property>
  <property fmtid="{D5CDD505-2E9C-101B-9397-08002B2CF9AE}" pid="7" name="MSIP_Label_bd937b97-c99c-4d09-879a-532c8bb3d6d2_SiteId">
    <vt:lpwstr>9744600e-3e04-492e-baa1-25ec245c6f10</vt:lpwstr>
  </property>
  <property fmtid="{D5CDD505-2E9C-101B-9397-08002B2CF9AE}" pid="8" name="MSIP_Label_bd937b97-c99c-4d09-879a-532c8bb3d6d2_ActionId">
    <vt:lpwstr>6d972e80-0ee4-4fd5-8ed3-ee6a72d77e66</vt:lpwstr>
  </property>
  <property fmtid="{D5CDD505-2E9C-101B-9397-08002B2CF9AE}" pid="9" name="MSIP_Label_bd937b97-c99c-4d09-879a-532c8bb3d6d2_ContentBits">
    <vt:lpwstr>2</vt:lpwstr>
  </property>
  <property fmtid="{D5CDD505-2E9C-101B-9397-08002B2CF9AE}" pid="10" name="MediaServiceImageTags">
    <vt:lpwstr/>
  </property>
</Properties>
</file>